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omments20.xml" ContentType="application/vnd.openxmlformats-officedocument.spreadsheetml.comments+xml"/>
  <Override PartName="/xl/drawings/drawing2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omments21.xml" ContentType="application/vnd.openxmlformats-officedocument.spreadsheetml.comments+xml"/>
  <Override PartName="/xl/drawings/drawing2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omments22.xml" ContentType="application/vnd.openxmlformats-officedocument.spreadsheetml.comments+xml"/>
  <Override PartName="/xl/drawings/drawing23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omments23.xml" ContentType="application/vnd.openxmlformats-officedocument.spreadsheetml.comments+xml"/>
  <Override PartName="/xl/drawings/drawing24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omments24.xml" ContentType="application/vnd.openxmlformats-officedocument.spreadsheetml.comments+xml"/>
  <Override PartName="/xl/drawings/drawing25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25.xml" ContentType="application/vnd.openxmlformats-officedocument.spreadsheetml.comments+xml"/>
  <Override PartName="/xl/drawings/drawing26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omments26.xml" ContentType="application/vnd.openxmlformats-officedocument.spreadsheetml.comments+xml"/>
  <Override PartName="/xl/drawings/drawing27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omments27.xml" ContentType="application/vnd.openxmlformats-officedocument.spreadsheetml.comments+xml"/>
  <Override PartName="/xl/drawings/drawing28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omments28.xml" ContentType="application/vnd.openxmlformats-officedocument.spreadsheetml.comments+xml"/>
  <Override PartName="/xl/drawings/drawing29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omments29.xml" ContentType="application/vnd.openxmlformats-officedocument.spreadsheetml.comments+xml"/>
  <Override PartName="/xl/drawings/drawing30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omments30.xml" ContentType="application/vnd.openxmlformats-officedocument.spreadsheetml.comments+xml"/>
  <Override PartName="/xl/drawings/drawing31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omments31.xml" ContentType="application/vnd.openxmlformats-officedocument.spreadsheetml.comments+xml"/>
  <Override PartName="/xl/drawings/drawing32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omments32.xml" ContentType="application/vnd.openxmlformats-officedocument.spreadsheetml.comments+xml"/>
  <Override PartName="/xl/drawings/drawing33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omments33.xml" ContentType="application/vnd.openxmlformats-officedocument.spreadsheetml.comments+xml"/>
  <Override PartName="/xl/drawings/drawing34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omments34.xml" ContentType="application/vnd.openxmlformats-officedocument.spreadsheetml.comments+xml"/>
  <Override PartName="/xl/drawings/drawing35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omments35.xml" ContentType="application/vnd.openxmlformats-officedocument.spreadsheetml.comments+xml"/>
  <Override PartName="/xl/drawings/drawing36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omments36.xml" ContentType="application/vnd.openxmlformats-officedocument.spreadsheetml.comments+xml"/>
  <Override PartName="/xl/drawings/drawing37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comments37.xml" ContentType="application/vnd.openxmlformats-officedocument.spreadsheetml.comments+xml"/>
  <Override PartName="/xl/drawings/drawing38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omments38.xml" ContentType="application/vnd.openxmlformats-officedocument.spreadsheetml.comments+xml"/>
  <Override PartName="/xl/drawings/drawing39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omments39.xml" ContentType="application/vnd.openxmlformats-officedocument.spreadsheetml.comments+xml"/>
  <Override PartName="/xl/drawings/drawing40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omments4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Entrega 3 - EzMart\Entrega 3 - EzMart\EzMart - Doc\APÊNDICE\APÊNDICE D - Planilha para gerenciar os riscos de ameaça do projeto\"/>
    </mc:Choice>
  </mc:AlternateContent>
  <bookViews>
    <workbookView xWindow="0" yWindow="0" windowWidth="20730" windowHeight="11760" tabRatio="987" activeTab="5"/>
  </bookViews>
  <sheets>
    <sheet name="Reunião 1" sheetId="10" r:id="rId1"/>
    <sheet name="Reunião 2" sheetId="17" r:id="rId2"/>
    <sheet name="Reunião 3" sheetId="18" r:id="rId3"/>
    <sheet name="Reunião 4" sheetId="19" r:id="rId4"/>
    <sheet name="Reunião 5" sheetId="20" r:id="rId5"/>
    <sheet name="Reunião 6" sheetId="21" r:id="rId6"/>
    <sheet name="Reunião 7" sheetId="22" r:id="rId7"/>
    <sheet name="Reunião 8" sheetId="23" r:id="rId8"/>
    <sheet name="Reunião 9" sheetId="24" r:id="rId9"/>
    <sheet name="Reunião 10" sheetId="25" r:id="rId10"/>
    <sheet name="Reunião 11" sheetId="26" r:id="rId11"/>
    <sheet name="Reunião 12" sheetId="27" r:id="rId12"/>
    <sheet name="Reunião 13" sheetId="28" r:id="rId13"/>
    <sheet name="Reunião 14" sheetId="29" r:id="rId14"/>
    <sheet name="Reunião 15" sheetId="30" r:id="rId15"/>
    <sheet name="Reunião 16" sheetId="31" r:id="rId16"/>
    <sheet name="Reunião 17" sheetId="32" r:id="rId17"/>
    <sheet name="Reunião 18" sheetId="33" r:id="rId18"/>
    <sheet name="Reunião 19" sheetId="34" r:id="rId19"/>
    <sheet name="Reunião 20" sheetId="35" r:id="rId20"/>
    <sheet name="Reunião 21" sheetId="36" r:id="rId21"/>
    <sheet name="Reunião 22" sheetId="37" r:id="rId22"/>
    <sheet name="Reunião 23" sheetId="38" r:id="rId23"/>
    <sheet name="Reunião 24" sheetId="39" r:id="rId24"/>
    <sheet name="Reunião 25" sheetId="40" r:id="rId25"/>
    <sheet name="Reunião 26" sheetId="41" r:id="rId26"/>
    <sheet name="Reunião 27" sheetId="42" r:id="rId27"/>
    <sheet name="Reunião 28" sheetId="43" r:id="rId28"/>
    <sheet name="Reunião 29" sheetId="44" r:id="rId29"/>
    <sheet name="Reunião 30" sheetId="45" r:id="rId30"/>
    <sheet name="Reunião 31" sheetId="46" r:id="rId31"/>
    <sheet name="Reunião 32" sheetId="47" r:id="rId32"/>
    <sheet name="Reunião 33" sheetId="48" r:id="rId33"/>
    <sheet name="Reunião 34" sheetId="49" r:id="rId34"/>
    <sheet name="Reunião 35" sheetId="50" r:id="rId35"/>
    <sheet name="Reunião 36" sheetId="51" r:id="rId36"/>
    <sheet name="Reunião 37" sheetId="52" r:id="rId37"/>
    <sheet name="Reunião 38" sheetId="53" r:id="rId38"/>
    <sheet name="Reunião 39" sheetId="54" r:id="rId39"/>
    <sheet name="Reunião 40" sheetId="55" r:id="rId40"/>
  </sheets>
  <calcPr calcId="152511"/>
</workbook>
</file>

<file path=xl/calcChain.xml><?xml version="1.0" encoding="utf-8"?>
<calcChain xmlns="http://schemas.openxmlformats.org/spreadsheetml/2006/main">
  <c r="E32" i="21" l="1"/>
  <c r="E32" i="20"/>
  <c r="E32" i="19"/>
  <c r="E32" i="18"/>
  <c r="E32" i="17"/>
  <c r="E33" i="10"/>
  <c r="E17" i="10" l="1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15" i="17" l="1"/>
  <c r="E16" i="10" l="1"/>
  <c r="E14" i="26"/>
  <c r="E13" i="26"/>
  <c r="E12" i="26"/>
  <c r="E15" i="25"/>
  <c r="E14" i="25"/>
  <c r="E13" i="25"/>
  <c r="E12" i="25"/>
  <c r="E14" i="24"/>
  <c r="E14" i="30"/>
  <c r="E13" i="30"/>
  <c r="E12" i="30"/>
  <c r="E12" i="24"/>
  <c r="E13" i="24"/>
  <c r="E15" i="24"/>
  <c r="E15" i="23"/>
  <c r="E14" i="23"/>
  <c r="E13" i="23"/>
  <c r="E15" i="21"/>
  <c r="E15" i="22"/>
  <c r="E13" i="22"/>
  <c r="E14" i="22"/>
  <c r="E12" i="20"/>
  <c r="E13" i="20"/>
  <c r="E14" i="20"/>
  <c r="E13" i="21"/>
  <c r="E16" i="21" l="1"/>
  <c r="E17" i="21"/>
  <c r="E18" i="21"/>
  <c r="E19" i="21"/>
  <c r="E20" i="21"/>
  <c r="E17" i="19" l="1"/>
  <c r="E13" i="18"/>
  <c r="E12" i="18"/>
  <c r="E12" i="17"/>
  <c r="E13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14" i="19" l="1"/>
  <c r="E13" i="19"/>
  <c r="E12" i="19"/>
  <c r="D32" i="55" l="1"/>
  <c r="C32" i="55"/>
  <c r="E31" i="55"/>
  <c r="E30" i="55"/>
  <c r="E29" i="55"/>
  <c r="E28" i="55"/>
  <c r="E27" i="55"/>
  <c r="E26" i="55"/>
  <c r="E25" i="55"/>
  <c r="E24" i="55"/>
  <c r="E23" i="55"/>
  <c r="E22" i="55"/>
  <c r="E21" i="55"/>
  <c r="E20" i="55"/>
  <c r="E19" i="55"/>
  <c r="E18" i="55"/>
  <c r="E17" i="55"/>
  <c r="E16" i="55"/>
  <c r="E15" i="55"/>
  <c r="E14" i="55"/>
  <c r="E13" i="55"/>
  <c r="E12" i="55"/>
  <c r="D32" i="54"/>
  <c r="C32" i="54"/>
  <c r="E31" i="54"/>
  <c r="E30" i="54"/>
  <c r="E29" i="54"/>
  <c r="E28" i="54"/>
  <c r="E27" i="54"/>
  <c r="E26" i="54"/>
  <c r="E25" i="54"/>
  <c r="E24" i="54"/>
  <c r="E23" i="54"/>
  <c r="E22" i="54"/>
  <c r="E21" i="54"/>
  <c r="E20" i="54"/>
  <c r="E19" i="54"/>
  <c r="E18" i="54"/>
  <c r="E17" i="54"/>
  <c r="E16" i="54"/>
  <c r="E15" i="54"/>
  <c r="E14" i="54"/>
  <c r="E13" i="54"/>
  <c r="E12" i="54"/>
  <c r="D32" i="53"/>
  <c r="C32" i="53"/>
  <c r="E31" i="53"/>
  <c r="E30" i="53"/>
  <c r="E29" i="53"/>
  <c r="E28" i="53"/>
  <c r="E27" i="53"/>
  <c r="E26" i="53"/>
  <c r="E25" i="53"/>
  <c r="E24" i="53"/>
  <c r="E23" i="53"/>
  <c r="E22" i="53"/>
  <c r="E21" i="53"/>
  <c r="E20" i="53"/>
  <c r="E19" i="53"/>
  <c r="E18" i="53"/>
  <c r="E17" i="53"/>
  <c r="E16" i="53"/>
  <c r="E15" i="53"/>
  <c r="E14" i="53"/>
  <c r="E13" i="53"/>
  <c r="E12" i="53"/>
  <c r="D32" i="52"/>
  <c r="C32" i="52"/>
  <c r="E31" i="52"/>
  <c r="E30" i="52"/>
  <c r="E29" i="52"/>
  <c r="E28" i="52"/>
  <c r="E27" i="52"/>
  <c r="E26" i="52"/>
  <c r="E25" i="52"/>
  <c r="E24" i="52"/>
  <c r="E23" i="52"/>
  <c r="E22" i="52"/>
  <c r="E21" i="52"/>
  <c r="E20" i="52"/>
  <c r="E19" i="52"/>
  <c r="E18" i="52"/>
  <c r="E17" i="52"/>
  <c r="E16" i="52"/>
  <c r="E15" i="52"/>
  <c r="E14" i="52"/>
  <c r="E13" i="52"/>
  <c r="E12" i="52"/>
  <c r="D32" i="51"/>
  <c r="C32" i="51"/>
  <c r="E31" i="51"/>
  <c r="E30" i="51"/>
  <c r="E29" i="51"/>
  <c r="E28" i="51"/>
  <c r="E27" i="51"/>
  <c r="E26" i="51"/>
  <c r="E25" i="51"/>
  <c r="E24" i="51"/>
  <c r="E23" i="51"/>
  <c r="E22" i="51"/>
  <c r="E21" i="51"/>
  <c r="E20" i="51"/>
  <c r="E19" i="51"/>
  <c r="E18" i="51"/>
  <c r="E17" i="51"/>
  <c r="E16" i="51"/>
  <c r="E15" i="51"/>
  <c r="E14" i="51"/>
  <c r="E13" i="51"/>
  <c r="E12" i="51"/>
  <c r="D32" i="50"/>
  <c r="C32" i="50"/>
  <c r="E31" i="50"/>
  <c r="E30" i="50"/>
  <c r="E29" i="50"/>
  <c r="E28" i="50"/>
  <c r="E27" i="50"/>
  <c r="E26" i="50"/>
  <c r="E25" i="50"/>
  <c r="E24" i="50"/>
  <c r="E23" i="50"/>
  <c r="E22" i="50"/>
  <c r="E21" i="50"/>
  <c r="E20" i="50"/>
  <c r="E19" i="50"/>
  <c r="E18" i="50"/>
  <c r="E17" i="50"/>
  <c r="E16" i="50"/>
  <c r="E15" i="50"/>
  <c r="E14" i="50"/>
  <c r="E13" i="50"/>
  <c r="E12" i="50"/>
  <c r="D32" i="49"/>
  <c r="C32" i="49"/>
  <c r="E31" i="49"/>
  <c r="E30" i="49"/>
  <c r="E29" i="49"/>
  <c r="E28" i="49"/>
  <c r="E27" i="49"/>
  <c r="E26" i="49"/>
  <c r="E25" i="49"/>
  <c r="E24" i="49"/>
  <c r="E23" i="49"/>
  <c r="E22" i="49"/>
  <c r="E21" i="49"/>
  <c r="E20" i="49"/>
  <c r="E19" i="49"/>
  <c r="E18" i="49"/>
  <c r="E17" i="49"/>
  <c r="E16" i="49"/>
  <c r="E15" i="49"/>
  <c r="E14" i="49"/>
  <c r="E13" i="49"/>
  <c r="E12" i="49"/>
  <c r="D32" i="48"/>
  <c r="C32" i="48"/>
  <c r="E31" i="48"/>
  <c r="E30" i="48"/>
  <c r="E29" i="48"/>
  <c r="E28" i="48"/>
  <c r="E27" i="48"/>
  <c r="E26" i="48"/>
  <c r="E25" i="48"/>
  <c r="E24" i="48"/>
  <c r="E23" i="48"/>
  <c r="E22" i="48"/>
  <c r="E21" i="48"/>
  <c r="E20" i="48"/>
  <c r="E19" i="48"/>
  <c r="E18" i="48"/>
  <c r="E17" i="48"/>
  <c r="E16" i="48"/>
  <c r="E15" i="48"/>
  <c r="E14" i="48"/>
  <c r="E13" i="48"/>
  <c r="E12" i="48"/>
  <c r="D32" i="47"/>
  <c r="C32" i="47"/>
  <c r="E31" i="47"/>
  <c r="E30" i="47"/>
  <c r="E29" i="47"/>
  <c r="E28" i="47"/>
  <c r="E27" i="47"/>
  <c r="E26" i="47"/>
  <c r="E25" i="47"/>
  <c r="E24" i="47"/>
  <c r="E23" i="47"/>
  <c r="E22" i="47"/>
  <c r="E21" i="47"/>
  <c r="E20" i="47"/>
  <c r="E19" i="47"/>
  <c r="E18" i="47"/>
  <c r="E17" i="47"/>
  <c r="E16" i="47"/>
  <c r="E15" i="47"/>
  <c r="E14" i="47"/>
  <c r="E13" i="47"/>
  <c r="E12" i="47"/>
  <c r="D32" i="46"/>
  <c r="C32" i="46"/>
  <c r="E31" i="46"/>
  <c r="E30" i="46"/>
  <c r="E29" i="46"/>
  <c r="E28" i="46"/>
  <c r="E27" i="46"/>
  <c r="E26" i="46"/>
  <c r="E25" i="46"/>
  <c r="E24" i="46"/>
  <c r="E23" i="46"/>
  <c r="E22" i="46"/>
  <c r="E21" i="46"/>
  <c r="E20" i="46"/>
  <c r="E19" i="46"/>
  <c r="E18" i="46"/>
  <c r="E17" i="46"/>
  <c r="E16" i="46"/>
  <c r="E15" i="46"/>
  <c r="E14" i="46"/>
  <c r="E13" i="46"/>
  <c r="E12" i="46"/>
  <c r="D32" i="45"/>
  <c r="C32" i="45"/>
  <c r="E31" i="45"/>
  <c r="E30" i="45"/>
  <c r="E29" i="45"/>
  <c r="E28" i="45"/>
  <c r="E27" i="45"/>
  <c r="E26" i="45"/>
  <c r="E25" i="45"/>
  <c r="E24" i="45"/>
  <c r="E23" i="45"/>
  <c r="E22" i="45"/>
  <c r="E21" i="45"/>
  <c r="E20" i="45"/>
  <c r="E19" i="45"/>
  <c r="E18" i="45"/>
  <c r="E17" i="45"/>
  <c r="E16" i="45"/>
  <c r="E15" i="45"/>
  <c r="E14" i="45"/>
  <c r="E13" i="45"/>
  <c r="E12" i="45"/>
  <c r="D32" i="44"/>
  <c r="C32" i="44"/>
  <c r="E31" i="44"/>
  <c r="E30" i="44"/>
  <c r="E29" i="44"/>
  <c r="E28" i="44"/>
  <c r="E27" i="44"/>
  <c r="E26" i="44"/>
  <c r="E25" i="44"/>
  <c r="E24" i="44"/>
  <c r="E23" i="44"/>
  <c r="E22" i="44"/>
  <c r="E21" i="44"/>
  <c r="E20" i="44"/>
  <c r="E19" i="44"/>
  <c r="E18" i="44"/>
  <c r="E17" i="44"/>
  <c r="E16" i="44"/>
  <c r="E15" i="44"/>
  <c r="E14" i="44"/>
  <c r="E13" i="44"/>
  <c r="E12" i="44"/>
  <c r="D32" i="43"/>
  <c r="C32" i="43"/>
  <c r="E31" i="43"/>
  <c r="E30" i="43"/>
  <c r="E29" i="43"/>
  <c r="E28" i="43"/>
  <c r="E27" i="43"/>
  <c r="E26" i="43"/>
  <c r="E25" i="43"/>
  <c r="E24" i="43"/>
  <c r="E23" i="43"/>
  <c r="E22" i="43"/>
  <c r="E21" i="43"/>
  <c r="E20" i="43"/>
  <c r="E19" i="43"/>
  <c r="E18" i="43"/>
  <c r="E17" i="43"/>
  <c r="E16" i="43"/>
  <c r="E15" i="43"/>
  <c r="E14" i="43"/>
  <c r="E13" i="43"/>
  <c r="E12" i="43"/>
  <c r="D32" i="42"/>
  <c r="C32" i="42"/>
  <c r="E31" i="42"/>
  <c r="E30" i="42"/>
  <c r="E29" i="42"/>
  <c r="E28" i="42"/>
  <c r="E27" i="42"/>
  <c r="E26" i="42"/>
  <c r="E25" i="42"/>
  <c r="E24" i="42"/>
  <c r="E23" i="42"/>
  <c r="E22" i="42"/>
  <c r="E21" i="42"/>
  <c r="E20" i="42"/>
  <c r="E19" i="42"/>
  <c r="E18" i="42"/>
  <c r="E17" i="42"/>
  <c r="E16" i="42"/>
  <c r="E15" i="42"/>
  <c r="E14" i="42"/>
  <c r="E13" i="42"/>
  <c r="E12" i="42"/>
  <c r="D32" i="41"/>
  <c r="C32" i="41"/>
  <c r="E31" i="41"/>
  <c r="E30" i="41"/>
  <c r="E29" i="41"/>
  <c r="E28" i="41"/>
  <c r="E27" i="41"/>
  <c r="E26" i="41"/>
  <c r="E25" i="41"/>
  <c r="E24" i="41"/>
  <c r="E23" i="41"/>
  <c r="E22" i="41"/>
  <c r="E21" i="41"/>
  <c r="E20" i="41"/>
  <c r="E19" i="41"/>
  <c r="E18" i="41"/>
  <c r="E17" i="41"/>
  <c r="E16" i="41"/>
  <c r="E15" i="41"/>
  <c r="E14" i="41"/>
  <c r="E13" i="41"/>
  <c r="E12" i="41"/>
  <c r="D32" i="40"/>
  <c r="C32" i="40"/>
  <c r="E31" i="40"/>
  <c r="E30" i="40"/>
  <c r="E29" i="40"/>
  <c r="E28" i="40"/>
  <c r="E27" i="40"/>
  <c r="E26" i="40"/>
  <c r="E25" i="40"/>
  <c r="E24" i="40"/>
  <c r="E23" i="40"/>
  <c r="E22" i="40"/>
  <c r="E21" i="40"/>
  <c r="E20" i="40"/>
  <c r="E19" i="40"/>
  <c r="E18" i="40"/>
  <c r="E17" i="40"/>
  <c r="E16" i="40"/>
  <c r="E15" i="40"/>
  <c r="E14" i="40"/>
  <c r="E13" i="40"/>
  <c r="E12" i="40"/>
  <c r="D32" i="39"/>
  <c r="C32" i="39"/>
  <c r="E31" i="39"/>
  <c r="E30" i="39"/>
  <c r="E29" i="39"/>
  <c r="E28" i="39"/>
  <c r="E27" i="39"/>
  <c r="E26" i="39"/>
  <c r="E25" i="39"/>
  <c r="E24" i="39"/>
  <c r="E23" i="39"/>
  <c r="E22" i="39"/>
  <c r="E21" i="39"/>
  <c r="E20" i="39"/>
  <c r="E19" i="39"/>
  <c r="E18" i="39"/>
  <c r="E17" i="39"/>
  <c r="E16" i="39"/>
  <c r="E15" i="39"/>
  <c r="E14" i="39"/>
  <c r="E13" i="39"/>
  <c r="E12" i="39"/>
  <c r="D32" i="38"/>
  <c r="C32" i="38"/>
  <c r="E31" i="38"/>
  <c r="E30" i="38"/>
  <c r="E29" i="38"/>
  <c r="E28" i="38"/>
  <c r="E27" i="38"/>
  <c r="E26" i="38"/>
  <c r="E25" i="38"/>
  <c r="E24" i="38"/>
  <c r="E23" i="38"/>
  <c r="E22" i="38"/>
  <c r="E21" i="38"/>
  <c r="E20" i="38"/>
  <c r="E19" i="38"/>
  <c r="E18" i="38"/>
  <c r="E17" i="38"/>
  <c r="E16" i="38"/>
  <c r="E15" i="38"/>
  <c r="E14" i="38"/>
  <c r="E13" i="38"/>
  <c r="E12" i="38"/>
  <c r="D32" i="37"/>
  <c r="C32" i="37"/>
  <c r="E31" i="37"/>
  <c r="E30" i="37"/>
  <c r="E29" i="37"/>
  <c r="E28" i="37"/>
  <c r="E27" i="37"/>
  <c r="E26" i="37"/>
  <c r="E25" i="37"/>
  <c r="E24" i="37"/>
  <c r="E23" i="37"/>
  <c r="E22" i="37"/>
  <c r="E21" i="37"/>
  <c r="E20" i="37"/>
  <c r="E19" i="37"/>
  <c r="E18" i="37"/>
  <c r="E17" i="37"/>
  <c r="E16" i="37"/>
  <c r="E15" i="37"/>
  <c r="E14" i="37"/>
  <c r="E13" i="37"/>
  <c r="E12" i="37"/>
  <c r="D32" i="36"/>
  <c r="C32" i="36"/>
  <c r="E31" i="36"/>
  <c r="E30" i="36"/>
  <c r="E29" i="36"/>
  <c r="E28" i="36"/>
  <c r="E27" i="36"/>
  <c r="E26" i="36"/>
  <c r="E25" i="36"/>
  <c r="E24" i="36"/>
  <c r="E23" i="36"/>
  <c r="E22" i="36"/>
  <c r="E21" i="36"/>
  <c r="E20" i="36"/>
  <c r="E19" i="36"/>
  <c r="E18" i="36"/>
  <c r="E17" i="36"/>
  <c r="E16" i="36"/>
  <c r="E15" i="36"/>
  <c r="E14" i="36"/>
  <c r="E13" i="36"/>
  <c r="E12" i="36"/>
  <c r="D32" i="35"/>
  <c r="C32" i="35"/>
  <c r="E31" i="35"/>
  <c r="E30" i="35"/>
  <c r="E29" i="35"/>
  <c r="E28" i="35"/>
  <c r="E27" i="35"/>
  <c r="E26" i="35"/>
  <c r="E25" i="35"/>
  <c r="E24" i="35"/>
  <c r="E23" i="35"/>
  <c r="E22" i="35"/>
  <c r="E21" i="35"/>
  <c r="E20" i="35"/>
  <c r="E19" i="35"/>
  <c r="E18" i="35"/>
  <c r="E17" i="35"/>
  <c r="E16" i="35"/>
  <c r="E15" i="35"/>
  <c r="E14" i="35"/>
  <c r="E13" i="35"/>
  <c r="E12" i="35"/>
  <c r="D32" i="34"/>
  <c r="C32" i="34"/>
  <c r="E31" i="34"/>
  <c r="E30" i="34"/>
  <c r="E29" i="34"/>
  <c r="E28" i="34"/>
  <c r="E27" i="34"/>
  <c r="E26" i="34"/>
  <c r="E25" i="34"/>
  <c r="E24" i="34"/>
  <c r="E23" i="34"/>
  <c r="E22" i="34"/>
  <c r="E21" i="34"/>
  <c r="E20" i="34"/>
  <c r="E19" i="34"/>
  <c r="E18" i="34"/>
  <c r="E17" i="34"/>
  <c r="E16" i="34"/>
  <c r="E15" i="34"/>
  <c r="E14" i="34"/>
  <c r="E13" i="34"/>
  <c r="E12" i="34"/>
  <c r="D32" i="33"/>
  <c r="C32" i="33"/>
  <c r="E31" i="33"/>
  <c r="E30" i="33"/>
  <c r="E29" i="33"/>
  <c r="E28" i="33"/>
  <c r="E27" i="33"/>
  <c r="E26" i="33"/>
  <c r="E25" i="33"/>
  <c r="E24" i="33"/>
  <c r="E23" i="33"/>
  <c r="E22" i="33"/>
  <c r="E21" i="33"/>
  <c r="E20" i="33"/>
  <c r="E19" i="33"/>
  <c r="E18" i="33"/>
  <c r="E17" i="33"/>
  <c r="E16" i="33"/>
  <c r="E15" i="33"/>
  <c r="E14" i="33"/>
  <c r="E13" i="33"/>
  <c r="E12" i="33"/>
  <c r="D32" i="32"/>
  <c r="C32" i="32"/>
  <c r="E31" i="32"/>
  <c r="E30" i="32"/>
  <c r="E29" i="32"/>
  <c r="E28" i="32"/>
  <c r="E27" i="32"/>
  <c r="E26" i="32"/>
  <c r="E25" i="32"/>
  <c r="E24" i="32"/>
  <c r="E23" i="32"/>
  <c r="E22" i="32"/>
  <c r="E21" i="32"/>
  <c r="E20" i="32"/>
  <c r="E19" i="32"/>
  <c r="E18" i="32"/>
  <c r="E17" i="32"/>
  <c r="E16" i="32"/>
  <c r="E15" i="32"/>
  <c r="E14" i="32"/>
  <c r="E13" i="32"/>
  <c r="E12" i="32"/>
  <c r="D32" i="31"/>
  <c r="C32" i="31"/>
  <c r="E31" i="31"/>
  <c r="E30" i="31"/>
  <c r="E29" i="31"/>
  <c r="E28" i="31"/>
  <c r="E27" i="31"/>
  <c r="E26" i="31"/>
  <c r="E25" i="31"/>
  <c r="E24" i="31"/>
  <c r="E23" i="31"/>
  <c r="E22" i="31"/>
  <c r="E21" i="31"/>
  <c r="E20" i="31"/>
  <c r="E19" i="31"/>
  <c r="E18" i="31"/>
  <c r="E17" i="31"/>
  <c r="E16" i="31"/>
  <c r="E15" i="31"/>
  <c r="E14" i="31"/>
  <c r="E13" i="31"/>
  <c r="E12" i="31"/>
  <c r="D32" i="30"/>
  <c r="C32" i="30"/>
  <c r="E31" i="30"/>
  <c r="E30" i="30"/>
  <c r="E29" i="30"/>
  <c r="E28" i="30"/>
  <c r="E27" i="30"/>
  <c r="E26" i="30"/>
  <c r="E25" i="30"/>
  <c r="E24" i="30"/>
  <c r="E23" i="30"/>
  <c r="E22" i="30"/>
  <c r="E21" i="30"/>
  <c r="E20" i="30"/>
  <c r="E19" i="30"/>
  <c r="E18" i="30"/>
  <c r="E17" i="30"/>
  <c r="E16" i="30"/>
  <c r="E15" i="30"/>
  <c r="D32" i="29"/>
  <c r="C32" i="29"/>
  <c r="E31" i="29"/>
  <c r="E30" i="29"/>
  <c r="E29" i="29"/>
  <c r="E28" i="29"/>
  <c r="E27" i="29"/>
  <c r="E26" i="29"/>
  <c r="E25" i="29"/>
  <c r="E24" i="29"/>
  <c r="E23" i="29"/>
  <c r="E22" i="29"/>
  <c r="E21" i="29"/>
  <c r="E20" i="29"/>
  <c r="E19" i="29"/>
  <c r="E18" i="29"/>
  <c r="E17" i="29"/>
  <c r="E16" i="29"/>
  <c r="E15" i="29"/>
  <c r="E14" i="29"/>
  <c r="E13" i="29"/>
  <c r="E12" i="29"/>
  <c r="D32" i="28"/>
  <c r="C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D32" i="27"/>
  <c r="C32" i="27"/>
  <c r="E31" i="27"/>
  <c r="E30" i="27"/>
  <c r="E29" i="27"/>
  <c r="E28" i="27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2" i="27"/>
  <c r="E14" i="27"/>
  <c r="E13" i="27"/>
  <c r="D32" i="26"/>
  <c r="C32" i="26"/>
  <c r="E31" i="26"/>
  <c r="E30" i="26"/>
  <c r="E29" i="26"/>
  <c r="E28" i="26"/>
  <c r="E27" i="26"/>
  <c r="E26" i="26"/>
  <c r="E25" i="26"/>
  <c r="E24" i="26"/>
  <c r="E23" i="26"/>
  <c r="E22" i="26"/>
  <c r="E21" i="26"/>
  <c r="E20" i="26"/>
  <c r="E19" i="26"/>
  <c r="E18" i="26"/>
  <c r="E17" i="26"/>
  <c r="E16" i="26"/>
  <c r="E15" i="26"/>
  <c r="D32" i="25"/>
  <c r="C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D32" i="24"/>
  <c r="C32" i="24"/>
  <c r="E31" i="24"/>
  <c r="E30" i="24"/>
  <c r="E29" i="24"/>
  <c r="E28" i="24"/>
  <c r="E27" i="24"/>
  <c r="E26" i="24"/>
  <c r="E25" i="24"/>
  <c r="E24" i="24"/>
  <c r="E23" i="24"/>
  <c r="E22" i="24"/>
  <c r="E21" i="24"/>
  <c r="E20" i="24"/>
  <c r="E19" i="24"/>
  <c r="E18" i="24"/>
  <c r="E17" i="24"/>
  <c r="E16" i="24"/>
  <c r="D32" i="23"/>
  <c r="C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D32" i="22"/>
  <c r="C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D32" i="21"/>
  <c r="C32" i="21"/>
  <c r="E31" i="21"/>
  <c r="E30" i="21"/>
  <c r="E29" i="21"/>
  <c r="E28" i="21"/>
  <c r="E27" i="21"/>
  <c r="E26" i="21"/>
  <c r="E25" i="21"/>
  <c r="E24" i="21"/>
  <c r="E23" i="21"/>
  <c r="E22" i="21"/>
  <c r="E21" i="21"/>
  <c r="D32" i="20"/>
  <c r="C32" i="20"/>
  <c r="E31" i="20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D32" i="19"/>
  <c r="C32" i="19"/>
  <c r="E31" i="19"/>
  <c r="E30" i="19"/>
  <c r="E29" i="19"/>
  <c r="E28" i="19"/>
  <c r="E27" i="19"/>
  <c r="E26" i="19"/>
  <c r="E25" i="19"/>
  <c r="E24" i="19"/>
  <c r="E23" i="19"/>
  <c r="E22" i="19"/>
  <c r="E21" i="19"/>
  <c r="E20" i="19"/>
  <c r="E19" i="19"/>
  <c r="E18" i="19"/>
  <c r="D32" i="18"/>
  <c r="C32" i="18"/>
  <c r="E31" i="18"/>
  <c r="E30" i="18"/>
  <c r="E29" i="18"/>
  <c r="E28" i="18"/>
  <c r="E27" i="18"/>
  <c r="E26" i="18"/>
  <c r="E25" i="18"/>
  <c r="E24" i="18"/>
  <c r="E23" i="18"/>
  <c r="E22" i="18"/>
  <c r="E21" i="18"/>
  <c r="E20" i="18"/>
  <c r="E19" i="18"/>
  <c r="E18" i="18"/>
  <c r="E17" i="18"/>
  <c r="E16" i="18"/>
  <c r="E15" i="18"/>
  <c r="D32" i="17"/>
  <c r="C32" i="17"/>
  <c r="E14" i="10"/>
  <c r="D33" i="10"/>
  <c r="C33" i="10"/>
  <c r="E13" i="10"/>
  <c r="E12" i="10"/>
  <c r="E32" i="52" l="1"/>
  <c r="E32" i="51"/>
  <c r="E32" i="44"/>
  <c r="E32" i="41"/>
  <c r="E32" i="39"/>
  <c r="E32" i="37"/>
  <c r="E32" i="32"/>
  <c r="E32" i="29"/>
  <c r="E32" i="27"/>
  <c r="E32" i="25"/>
  <c r="E32" i="24"/>
  <c r="E32" i="23"/>
  <c r="E32" i="22"/>
  <c r="E32" i="55"/>
  <c r="E32" i="54"/>
  <c r="E32" i="53"/>
  <c r="E32" i="50"/>
  <c r="E32" i="49"/>
  <c r="E32" i="48"/>
  <c r="E32" i="47"/>
  <c r="E32" i="46"/>
  <c r="E32" i="45"/>
  <c r="E32" i="43"/>
  <c r="E32" i="42"/>
  <c r="E32" i="40"/>
  <c r="E32" i="38"/>
  <c r="E32" i="36"/>
  <c r="E32" i="35"/>
  <c r="E32" i="34"/>
  <c r="E32" i="33"/>
  <c r="E32" i="31"/>
  <c r="E32" i="30"/>
  <c r="E32" i="28"/>
  <c r="E32" i="26"/>
</calcChain>
</file>

<file path=xl/comments1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2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3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4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5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6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7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8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9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10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11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12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13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14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15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16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17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18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19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20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21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22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23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24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25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26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27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28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29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30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31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32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33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34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35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36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37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38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39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comments40.xml><?xml version="1.0" encoding="utf-8"?>
<comments xmlns="http://schemas.openxmlformats.org/spreadsheetml/2006/main">
  <authors>
    <author>Afonso Soares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 xml:space="preserve">Odene os riscos do maior para o menor valor de exposição. Use o botão macro no final da tabela.
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Descrição sicinta do risco. 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A estratégia pode mudar ao longo do tempo para o mesmo risco, devendo ser revista a cada reunião de acompanhamento do projeto.
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O plano de redução se aplica para o impacto e/ou probabilidade do risco, para a respectiva redução do valor de exposição do risco.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O plano de contingência deve ser preparado para todos os riscos. A aplicação de um plano de contingência implica que o risco não mais existe, pelo fato de ter ocorrido.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A data deve ser atualização a cada reunião de acompanhamento do projeto.</t>
        </r>
      </text>
    </comment>
  </commentList>
</comments>
</file>

<file path=xl/sharedStrings.xml><?xml version="1.0" encoding="utf-8"?>
<sst xmlns="http://schemas.openxmlformats.org/spreadsheetml/2006/main" count="3499" uniqueCount="81">
  <si>
    <t>Totais</t>
  </si>
  <si>
    <t>Data</t>
  </si>
  <si>
    <t>Núm. do Risco</t>
  </si>
  <si>
    <t>Valor de Exposição</t>
  </si>
  <si>
    <t>Descrição do Risco</t>
  </si>
  <si>
    <t>Plano de redução</t>
  </si>
  <si>
    <t>Plano de contingência</t>
  </si>
  <si>
    <t>Probabilidade de Ocorrência</t>
  </si>
  <si>
    <t>Baixo</t>
  </si>
  <si>
    <t>Alto</t>
  </si>
  <si>
    <t>Médio</t>
  </si>
  <si>
    <t>Análise qualitativa de riscos negativos</t>
  </si>
  <si>
    <t>Estratégia</t>
  </si>
  <si>
    <t>Evitar</t>
  </si>
  <si>
    <t>Mitigar</t>
  </si>
  <si>
    <t>Tranferir</t>
  </si>
  <si>
    <t>Aceitar</t>
  </si>
  <si>
    <t>dd/mm/aaaa</t>
  </si>
  <si>
    <t>Valor do Risco</t>
  </si>
  <si>
    <t>Ridículo</t>
  </si>
  <si>
    <t>até 25%</t>
  </si>
  <si>
    <t>de 26% a 50%</t>
  </si>
  <si>
    <t>de 51% a 75%</t>
  </si>
  <si>
    <t>acima de 76%</t>
  </si>
  <si>
    <t>Gerência Qualitativa dos Riscos Negativos do Projeto</t>
  </si>
  <si>
    <r>
      <t xml:space="preserve">Para ordenar os riscos do maior valor para o de menor valor de exposição, utilize as teclas de atalho </t>
    </r>
    <r>
      <rPr>
        <b/>
        <sz val="10"/>
        <color indexed="10"/>
        <rFont val="Arial"/>
        <family val="2"/>
      </rPr>
      <t xml:space="preserve">ctrl + shift + A </t>
    </r>
    <r>
      <rPr>
        <sz val="10"/>
        <rFont val="Arial"/>
        <family val="2"/>
      </rPr>
      <t>ou clique no botão ao final da tabela.</t>
    </r>
  </si>
  <si>
    <r>
      <t xml:space="preserve">Esta planilha deverá ser atualizada a </t>
    </r>
    <r>
      <rPr>
        <b/>
        <sz val="10"/>
        <rFont val="Arial"/>
        <family val="2"/>
      </rPr>
      <t>cada</t>
    </r>
    <r>
      <rPr>
        <sz val="10"/>
        <rFont val="Arial"/>
        <family val="2"/>
      </rPr>
      <t xml:space="preserve"> reunião de acompanhamento do projeto. Recomenda-se periodicidade semanal.</t>
    </r>
  </si>
  <si>
    <t>Estabelecer prazos para a entrega e junção das partes do projeto.</t>
  </si>
  <si>
    <t>Discução entre os integrantes da equipe para definir com clareza o requisito funcional.</t>
  </si>
  <si>
    <t>Estudar as opiniões de cada membro da equipe para definir o escopo do PFC.</t>
  </si>
  <si>
    <t>Estudar as tecnologias que serão utilizadas no projeto.</t>
  </si>
  <si>
    <t>Dificuldade para reunir todos os membros da equipe.</t>
  </si>
  <si>
    <t>Sobrecarga de atividades.</t>
  </si>
  <si>
    <t>Reunião para definição do tema central do Projeto Final de Curso (PFC).</t>
  </si>
  <si>
    <t>Reunião para definir características essenciais, importantes e desejáveis.</t>
  </si>
  <si>
    <t>Reunião para definição do escopo do Projeto Final de Curso (PFC).</t>
  </si>
  <si>
    <t>Reunião para definição do nome do projeto como estrtégia, dentre todas as opções fornecidas pelo grupo.</t>
  </si>
  <si>
    <r>
      <t xml:space="preserve">Definir quais nomes, dentre todos os nomes propostos se enquadram melhor na proposta central do projeto. Isso de certa forma auxilia a propaganda do </t>
    </r>
    <r>
      <rPr>
        <i/>
        <sz val="8"/>
        <rFont val="Times New Roman"/>
        <family val="1"/>
      </rPr>
      <t>software.</t>
    </r>
  </si>
  <si>
    <t>Definir entre os membros da equipe o tema central, dentre os temas que foram anotados pelos integrantes.</t>
  </si>
  <si>
    <t>Definir quais características são essencias, importantes e desejáveis</t>
  </si>
  <si>
    <t>Estudar quais são os atores do sistema para que seja possível agupar as características.</t>
  </si>
  <si>
    <t>Reunião para definição do objetivo geral e específico do tema que foi escolhido.</t>
  </si>
  <si>
    <t>Estudar o que é objetivo geral e o que são objetivos específicos e como subdividi-los.</t>
  </si>
  <si>
    <t>Reunião para definir quais os módulo em que serão dubdivididos os Requisitos Funcionais, assim como sua descrição.</t>
  </si>
  <si>
    <t>Estudar as tecnologias referidas por cada integrante.</t>
  </si>
  <si>
    <t>Estudar as habilidades técnicas e interpessoais de cada integrante para que seja possível a definição do papel.</t>
  </si>
  <si>
    <t>Definição e descrição do papel de cada integrante.</t>
  </si>
  <si>
    <t>Elaborar o EAP no MSProjetc para detalhar, monitorar e especificar cada atividade e sua devida duração.</t>
  </si>
  <si>
    <t>Definição de um horário fixo na semana ou no mês para reunião.</t>
  </si>
  <si>
    <t>Reorganizar a divisão das atividades referentes a entrega da segunda fase.</t>
  </si>
  <si>
    <t>Estabelecer prazos para a entrega e junção das partes do projeto num período de folga até a entrega da segunda fase.</t>
  </si>
  <si>
    <t>Verificar os fluxos alternativos que podem ter influência no fluxo principal deste requisito.</t>
  </si>
  <si>
    <t>Dificuldade na abstração do modelo Entidade Relacionamento (MER).</t>
  </si>
  <si>
    <t>Discução entre os integrantes para arquitetar o Diagrama Entidade Relacionamento (DER) de maneira mais consisa.</t>
  </si>
  <si>
    <t>Não centralizar a tarefa de arquiteturar o Diagrama Entidade Relacionamento (DER) a somente um integrante. Definir uma reunião apenas para discussão do Modelo Entidade Relacionamento (MER).</t>
  </si>
  <si>
    <t>Definição de um horário periódico e de dias no mês para reuniões</t>
  </si>
  <si>
    <t>Discutir entre os membros da equipe um horário para ruenião periódica e de dias no mês para rueniões de alinhamento e execução de atividades</t>
  </si>
  <si>
    <t>Dificuldade de estimar tempo para as atividades.</t>
  </si>
  <si>
    <t>Revisão do cronograma, revisão do tempo de cada atividade assim como considerar alguns fatores que impactam na execução das tarefas pertencentes a cada integrante.</t>
  </si>
  <si>
    <t>Definição das atividades referentes a cada papel para a entrega da primeira fase.</t>
  </si>
  <si>
    <t>Reorganização da divisão das atividades referentes a entrega da segunda fase do projeto.</t>
  </si>
  <si>
    <t>Seleção de um integrante para estudo das tecnologias que serão utilizadas no projeto.</t>
  </si>
  <si>
    <t>Revisar o cronograma.</t>
  </si>
  <si>
    <t>Dificuldade para definir o escopo de cada reunião que foi programada.</t>
  </si>
  <si>
    <t>Definição antecedente sobre o esocpo de cada reunião mensal.</t>
  </si>
  <si>
    <t>Documentar o dia do mês em que a reunião deve ser realizada além de documentar o escopo que será tratado nesta reunião.</t>
  </si>
  <si>
    <t>Estudar a tecnologia, pesquisar implemetações e pesquistar API para implementação.</t>
  </si>
  <si>
    <r>
      <t>Dificuldade para implementar o</t>
    </r>
    <r>
      <rPr>
        <i/>
        <sz val="8"/>
        <rFont val="Times New Roman"/>
        <family val="1"/>
      </rPr>
      <t xml:space="preserve"> Google Maps</t>
    </r>
    <r>
      <rPr>
        <sz val="8"/>
        <rFont val="Times New Roman"/>
        <family val="1"/>
      </rPr>
      <t xml:space="preserve"> no projeto, mais precisamente no requisito "Selecionar raio de distância para obter os estabelecimentos disponíveis na área".</t>
    </r>
  </si>
  <si>
    <t>Dificuldade para compreensão das principais tecnologias que serão utilizadas no projeto.</t>
  </si>
  <si>
    <t>Dificuldade na definição do tema abordado no projeto.</t>
  </si>
  <si>
    <t>Dificuldade na definição das características.</t>
  </si>
  <si>
    <t>Dificuldade na definição do escopo do projeto.</t>
  </si>
  <si>
    <t>Dificuldae na definição do objetivo.</t>
  </si>
  <si>
    <t>Dificuldade para definir o nome do projeto.</t>
  </si>
  <si>
    <t>Dificuldade para defefinição dos Requisitos Funcionais.</t>
  </si>
  <si>
    <t>Escolher as alternativas técnicas referente as tecnologias.</t>
  </si>
  <si>
    <r>
      <t xml:space="preserve">Dificuldade na definição do papel de cada integrante na construção do </t>
    </r>
    <r>
      <rPr>
        <i/>
        <sz val="8"/>
        <rFont val="Times New Roman"/>
        <family val="1"/>
      </rPr>
      <t>software.</t>
    </r>
  </si>
  <si>
    <t>Dificuldade na elaboração das atividades referente a cada papel definido.</t>
  </si>
  <si>
    <t>Incerteza sobre a definição do requisito funcional "Cadastrar produto".</t>
  </si>
  <si>
    <t>Reunião entre os integrantes, para determinar qual a facilidade de cada um com cadda tecnologia.</t>
  </si>
  <si>
    <t>Reunir os membros da equipe um horário onde todos estejam diponíveis ou que será disponível durante o mês para reunião.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</si>
</sst>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;@"/>
  </numFmts>
  <fonts count="12" x14ac:knownFonts="1">
    <font>
      <sz val="10"/>
      <name val="Arial"/>
    </font>
    <font>
      <b/>
      <sz val="8"/>
      <name val="Times New Roman"/>
      <family val="1"/>
    </font>
    <font>
      <sz val="8"/>
      <name val="Times New Roman"/>
      <family val="1"/>
    </font>
    <font>
      <b/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9"/>
      <color indexed="81"/>
      <name val="Tahoma"/>
      <family val="2"/>
    </font>
    <font>
      <b/>
      <sz val="10"/>
      <color rgb="FF0070C0"/>
      <name val="Arial"/>
      <family val="2"/>
    </font>
    <font>
      <b/>
      <sz val="10"/>
      <color rgb="FF000000"/>
      <name val="Arial"/>
      <family val="2"/>
    </font>
    <font>
      <i/>
      <sz val="8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9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2" borderId="1" xfId="0" applyFont="1" applyFill="1" applyBorder="1" applyAlignment="1">
      <alignment vertical="top" wrapText="1"/>
    </xf>
    <xf numFmtId="0" fontId="2" fillId="3" borderId="2" xfId="0" applyFont="1" applyFill="1" applyBorder="1" applyAlignment="1">
      <alignment horizontal="center" vertical="top" wrapText="1"/>
    </xf>
    <xf numFmtId="0" fontId="2" fillId="3" borderId="1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center" vertical="top" wrapText="1"/>
    </xf>
    <xf numFmtId="0" fontId="2" fillId="2" borderId="4" xfId="0" applyFont="1" applyFill="1" applyBorder="1" applyAlignment="1">
      <alignment horizontal="center" vertical="top" wrapText="1"/>
    </xf>
    <xf numFmtId="0" fontId="1" fillId="2" borderId="3" xfId="0" applyFont="1" applyFill="1" applyBorder="1" applyAlignment="1">
      <alignment horizontal="center" vertical="top" wrapText="1"/>
    </xf>
    <xf numFmtId="0" fontId="2" fillId="2" borderId="2" xfId="0" applyFont="1" applyFill="1" applyBorder="1" applyAlignment="1">
      <alignment vertical="top" wrapText="1"/>
    </xf>
    <xf numFmtId="164" fontId="2" fillId="2" borderId="5" xfId="0" applyNumberFormat="1" applyFont="1" applyFill="1" applyBorder="1" applyAlignment="1">
      <alignment horizontal="center" vertical="top" wrapText="1"/>
    </xf>
    <xf numFmtId="0" fontId="2" fillId="4" borderId="6" xfId="0" applyFont="1" applyFill="1" applyBorder="1" applyAlignment="1">
      <alignment vertical="top" wrapText="1"/>
    </xf>
    <xf numFmtId="0" fontId="2" fillId="4" borderId="1" xfId="0" applyFont="1" applyFill="1" applyBorder="1" applyAlignment="1">
      <alignment vertical="top" wrapText="1"/>
    </xf>
    <xf numFmtId="0" fontId="2" fillId="4" borderId="2" xfId="0" applyFont="1" applyFill="1" applyBorder="1" applyAlignment="1">
      <alignment vertical="top" wrapText="1"/>
    </xf>
    <xf numFmtId="0" fontId="2" fillId="4" borderId="7" xfId="0" applyFont="1" applyFill="1" applyBorder="1" applyAlignment="1">
      <alignment vertical="top" wrapText="1"/>
    </xf>
    <xf numFmtId="14" fontId="2" fillId="4" borderId="8" xfId="0" applyNumberFormat="1" applyFont="1" applyFill="1" applyBorder="1" applyAlignment="1">
      <alignment horizontal="center" vertical="top" wrapText="1"/>
    </xf>
    <xf numFmtId="0" fontId="2" fillId="4" borderId="1" xfId="0" applyFont="1" applyFill="1" applyBorder="1" applyAlignment="1">
      <alignment horizontal="center" vertical="top" wrapText="1"/>
    </xf>
    <xf numFmtId="0" fontId="2" fillId="4" borderId="8" xfId="0" applyFont="1" applyFill="1" applyBorder="1" applyAlignment="1">
      <alignment vertical="top" wrapText="1"/>
    </xf>
    <xf numFmtId="0" fontId="2" fillId="4" borderId="9" xfId="0" applyFont="1" applyFill="1" applyBorder="1" applyAlignment="1">
      <alignment vertical="top" wrapText="1"/>
    </xf>
    <xf numFmtId="0" fontId="2" fillId="2" borderId="5" xfId="0" applyFont="1" applyFill="1" applyBorder="1" applyAlignment="1">
      <alignment vertical="top" wrapText="1"/>
    </xf>
    <xf numFmtId="49" fontId="0" fillId="0" borderId="0" xfId="0" applyNumberFormat="1"/>
    <xf numFmtId="49" fontId="6" fillId="0" borderId="0" xfId="0" applyNumberFormat="1" applyFont="1"/>
    <xf numFmtId="0" fontId="5" fillId="0" borderId="0" xfId="0" applyFont="1"/>
    <xf numFmtId="0" fontId="2" fillId="4" borderId="6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14" fontId="2" fillId="4" borderId="8" xfId="0" applyNumberFormat="1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top" wrapText="1"/>
    </xf>
    <xf numFmtId="0" fontId="2" fillId="4" borderId="8" xfId="0" applyFont="1" applyFill="1" applyBorder="1" applyAlignment="1">
      <alignment horizontal="center" vertical="top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4" fillId="2" borderId="11" xfId="0" applyFont="1" applyFill="1" applyBorder="1" applyAlignment="1">
      <alignment vertical="top" textRotation="90" wrapText="1"/>
    </xf>
    <xf numFmtId="0" fontId="4" fillId="2" borderId="12" xfId="0" applyFont="1" applyFill="1" applyBorder="1" applyAlignment="1">
      <alignment vertical="top" textRotation="90" wrapText="1"/>
    </xf>
    <xf numFmtId="0" fontId="4" fillId="2" borderId="13" xfId="0" applyFont="1" applyFill="1" applyBorder="1" applyAlignment="1">
      <alignment vertical="top" textRotation="90" wrapText="1"/>
    </xf>
    <xf numFmtId="0" fontId="4" fillId="2" borderId="14" xfId="0" applyFont="1" applyFill="1" applyBorder="1" applyAlignment="1">
      <alignment horizontal="center" vertical="top" wrapText="1"/>
    </xf>
    <xf numFmtId="0" fontId="4" fillId="2" borderId="15" xfId="0" applyFont="1" applyFill="1" applyBorder="1" applyAlignment="1">
      <alignment horizontal="center" vertical="top" wrapText="1"/>
    </xf>
    <xf numFmtId="0" fontId="4" fillId="2" borderId="16" xfId="0" applyFont="1" applyFill="1" applyBorder="1" applyAlignment="1">
      <alignment horizontal="center" vertical="top" wrapText="1"/>
    </xf>
    <xf numFmtId="0" fontId="0" fillId="2" borderId="17" xfId="0" applyFill="1" applyBorder="1" applyAlignment="1">
      <alignment horizontal="center" vertical="top" wrapText="1"/>
    </xf>
    <xf numFmtId="0" fontId="4" fillId="2" borderId="18" xfId="0" applyFont="1" applyFill="1" applyBorder="1" applyAlignment="1">
      <alignment vertical="top" textRotation="90" wrapText="1"/>
    </xf>
    <xf numFmtId="0" fontId="4" fillId="2" borderId="19" xfId="0" applyFont="1" applyFill="1" applyBorder="1" applyAlignment="1">
      <alignment vertical="top" textRotation="90" wrapText="1"/>
    </xf>
    <xf numFmtId="0" fontId="4" fillId="2" borderId="20" xfId="0" applyFont="1" applyFill="1" applyBorder="1" applyAlignment="1">
      <alignment vertical="top" textRotation="90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33</xdr:row>
          <xdr:rowOff>66675</xdr:rowOff>
        </xdr:from>
        <xdr:to>
          <xdr:col>10</xdr:col>
          <xdr:colOff>9525</xdr:colOff>
          <xdr:row>34</xdr:row>
          <xdr:rowOff>104775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428625</xdr:colOff>
          <xdr:row>32</xdr:row>
          <xdr:rowOff>66675</xdr:rowOff>
        </xdr:from>
        <xdr:to>
          <xdr:col>10</xdr:col>
          <xdr:colOff>0</xdr:colOff>
          <xdr:row>33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32</xdr:row>
          <xdr:rowOff>66675</xdr:rowOff>
        </xdr:from>
        <xdr:to>
          <xdr:col>10</xdr:col>
          <xdr:colOff>9525</xdr:colOff>
          <xdr:row>33</xdr:row>
          <xdr:rowOff>104775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 o valor de exposição de todas as planilhas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5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7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8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9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1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11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12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13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14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15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16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comments" Target="../comments17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18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openxmlformats.org/officeDocument/2006/relationships/comments" Target="../comments19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2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6" Type="http://schemas.openxmlformats.org/officeDocument/2006/relationships/comments" Target="../comments21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2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6" Type="http://schemas.openxmlformats.org/officeDocument/2006/relationships/comments" Target="../comments23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6" Type="http://schemas.openxmlformats.org/officeDocument/2006/relationships/comments" Target="../comments24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mments" Target="../comments25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26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mments" Target="../comments27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28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6" Type="http://schemas.openxmlformats.org/officeDocument/2006/relationships/comments" Target="../comments29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3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31.xml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6" Type="http://schemas.openxmlformats.org/officeDocument/2006/relationships/comments" Target="../comments32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6" Type="http://schemas.openxmlformats.org/officeDocument/2006/relationships/comments" Target="../comments33.xml"/><Relationship Id="rId5" Type="http://schemas.openxmlformats.org/officeDocument/2006/relationships/ctrlProp" Target="../ctrlProps/ctrlProp65.xml"/><Relationship Id="rId4" Type="http://schemas.openxmlformats.org/officeDocument/2006/relationships/ctrlProp" Target="../ctrlProps/ctrlProp64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6" Type="http://schemas.openxmlformats.org/officeDocument/2006/relationships/comments" Target="../comments34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6" Type="http://schemas.openxmlformats.org/officeDocument/2006/relationships/comments" Target="../comments35.xml"/><Relationship Id="rId5" Type="http://schemas.openxmlformats.org/officeDocument/2006/relationships/ctrlProp" Target="../ctrlProps/ctrlProp69.xml"/><Relationship Id="rId4" Type="http://schemas.openxmlformats.org/officeDocument/2006/relationships/ctrlProp" Target="../ctrlProps/ctrlProp6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36.xml"/><Relationship Id="rId5" Type="http://schemas.openxmlformats.org/officeDocument/2006/relationships/ctrlProp" Target="../ctrlProps/ctrlProp71.xml"/><Relationship Id="rId4" Type="http://schemas.openxmlformats.org/officeDocument/2006/relationships/ctrlProp" Target="../ctrlProps/ctrlProp70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7.xml"/><Relationship Id="rId5" Type="http://schemas.openxmlformats.org/officeDocument/2006/relationships/ctrlProp" Target="../ctrlProps/ctrlProp73.xml"/><Relationship Id="rId4" Type="http://schemas.openxmlformats.org/officeDocument/2006/relationships/ctrlProp" Target="../ctrlProps/ctrlProp72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8.xml"/><Relationship Id="rId5" Type="http://schemas.openxmlformats.org/officeDocument/2006/relationships/ctrlProp" Target="../ctrlProps/ctrlProp75.xml"/><Relationship Id="rId4" Type="http://schemas.openxmlformats.org/officeDocument/2006/relationships/ctrlProp" Target="../ctrlProps/ctrlProp74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6" Type="http://schemas.openxmlformats.org/officeDocument/2006/relationships/comments" Target="../comments39.xml"/><Relationship Id="rId5" Type="http://schemas.openxmlformats.org/officeDocument/2006/relationships/ctrlProp" Target="../ctrlProps/ctrlProp77.xml"/><Relationship Id="rId4" Type="http://schemas.openxmlformats.org/officeDocument/2006/relationships/ctrlProp" Target="../ctrlProps/ctrlProp76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7" Type="http://schemas.openxmlformats.org/officeDocument/2006/relationships/comments" Target="../comments40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6" Type="http://schemas.openxmlformats.org/officeDocument/2006/relationships/ctrlProp" Target="../ctrlProps/ctrlProp80.xml"/><Relationship Id="rId5" Type="http://schemas.openxmlformats.org/officeDocument/2006/relationships/ctrlProp" Target="../ctrlProps/ctrlProp79.xml"/><Relationship Id="rId4" Type="http://schemas.openxmlformats.org/officeDocument/2006/relationships/ctrlProp" Target="../ctrlProps/ctrlProp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B1:M33"/>
  <sheetViews>
    <sheetView topLeftCell="A7" zoomScale="130" zoomScaleNormal="130" workbookViewId="0">
      <selection activeCell="F16" sqref="F16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45.75" thickBot="1" x14ac:dyDescent="0.25">
      <c r="B12" s="4">
        <v>1</v>
      </c>
      <c r="C12" s="22" t="s">
        <v>9</v>
      </c>
      <c r="D12" s="22" t="s">
        <v>21</v>
      </c>
      <c r="E12" s="28">
        <f>LOOKUP(C12,$L$14:$M$17)*LOOKUP(D12,$L$19:$M$22)</f>
        <v>8</v>
      </c>
      <c r="F12" s="21" t="s">
        <v>69</v>
      </c>
      <c r="G12" s="24" t="s">
        <v>14</v>
      </c>
      <c r="H12" s="21" t="s">
        <v>33</v>
      </c>
      <c r="I12" s="21" t="s">
        <v>38</v>
      </c>
      <c r="J12" s="27">
        <v>43140</v>
      </c>
    </row>
    <row r="13" spans="2:13" ht="34.5" thickBot="1" x14ac:dyDescent="0.25">
      <c r="B13" s="4"/>
      <c r="C13" s="22" t="s">
        <v>9</v>
      </c>
      <c r="D13" s="22" t="s">
        <v>21</v>
      </c>
      <c r="E13" s="28">
        <f>LOOKUP(C13,$L$14:$M$17)*LOOKUP(D13,$L$19:$M$22)</f>
        <v>8</v>
      </c>
      <c r="F13" s="21" t="s">
        <v>70</v>
      </c>
      <c r="G13" s="24" t="s">
        <v>14</v>
      </c>
      <c r="H13" s="21" t="s">
        <v>34</v>
      </c>
      <c r="I13" s="25" t="s">
        <v>39</v>
      </c>
      <c r="J13" s="27">
        <v>43140</v>
      </c>
    </row>
    <row r="14" spans="2:13" ht="34.5" thickBot="1" x14ac:dyDescent="0.25">
      <c r="B14" s="4">
        <v>3</v>
      </c>
      <c r="C14" s="22" t="s">
        <v>10</v>
      </c>
      <c r="D14" s="22" t="s">
        <v>21</v>
      </c>
      <c r="E14" s="28">
        <f>LOOKUP(C14,$L$14:$M$17)*LOOKUP(D14,$L$19:$M$22)</f>
        <v>6</v>
      </c>
      <c r="F14" s="22" t="s">
        <v>71</v>
      </c>
      <c r="G14" s="24" t="s">
        <v>14</v>
      </c>
      <c r="H14" s="22" t="s">
        <v>35</v>
      </c>
      <c r="I14" s="25" t="s">
        <v>29</v>
      </c>
      <c r="J14" s="27">
        <v>43140</v>
      </c>
      <c r="L14" s="19" t="s">
        <v>9</v>
      </c>
      <c r="M14">
        <v>4</v>
      </c>
    </row>
    <row r="15" spans="2:13" ht="34.5" thickBot="1" x14ac:dyDescent="0.25">
      <c r="B15" s="4">
        <v>4</v>
      </c>
      <c r="C15" s="22" t="s">
        <v>8</v>
      </c>
      <c r="D15" s="22" t="s">
        <v>20</v>
      </c>
      <c r="E15" s="28">
        <v>2</v>
      </c>
      <c r="F15" s="22" t="s">
        <v>72</v>
      </c>
      <c r="G15" s="24" t="s">
        <v>14</v>
      </c>
      <c r="H15" s="22" t="s">
        <v>41</v>
      </c>
      <c r="I15" s="25" t="s">
        <v>42</v>
      </c>
      <c r="J15" s="27">
        <v>43140</v>
      </c>
      <c r="L15" s="19" t="s">
        <v>8</v>
      </c>
      <c r="M15">
        <v>2</v>
      </c>
    </row>
    <row r="16" spans="2:13" ht="68.25" thickBot="1" x14ac:dyDescent="0.25">
      <c r="B16" s="4">
        <v>5</v>
      </c>
      <c r="C16" s="22" t="s">
        <v>8</v>
      </c>
      <c r="D16" s="22" t="s">
        <v>20</v>
      </c>
      <c r="E16" s="28">
        <f t="shared" ref="E16:E31" si="0">LOOKUP(C16,$L$14:$M$17)*LOOKUP(D16,$L$19:$M$22)</f>
        <v>2</v>
      </c>
      <c r="F16" s="22" t="s">
        <v>73</v>
      </c>
      <c r="G16" s="24" t="s">
        <v>14</v>
      </c>
      <c r="H16" s="22" t="s">
        <v>36</v>
      </c>
      <c r="I16" s="25" t="s">
        <v>37</v>
      </c>
      <c r="J16" s="27">
        <v>43140</v>
      </c>
      <c r="L16" s="19" t="s">
        <v>10</v>
      </c>
      <c r="M16">
        <v>3</v>
      </c>
    </row>
    <row r="17" spans="2:13" ht="13.5" hidden="1" thickBot="1" x14ac:dyDescent="0.25">
      <c r="B17" s="4">
        <v>6</v>
      </c>
      <c r="C17" s="22" t="s">
        <v>19</v>
      </c>
      <c r="D17" s="22" t="s">
        <v>20</v>
      </c>
      <c r="E17" s="28">
        <f t="shared" si="0"/>
        <v>1</v>
      </c>
      <c r="F17" s="22"/>
      <c r="G17" s="24"/>
      <c r="H17" s="22"/>
      <c r="I17" s="25"/>
      <c r="J17" s="27" t="s">
        <v>17</v>
      </c>
      <c r="L17" s="19" t="s">
        <v>19</v>
      </c>
      <c r="M17">
        <v>1</v>
      </c>
    </row>
    <row r="18" spans="2:13" ht="13.5" hidden="1" thickBot="1" x14ac:dyDescent="0.25">
      <c r="B18" s="4">
        <v>7</v>
      </c>
      <c r="C18" s="22" t="s">
        <v>19</v>
      </c>
      <c r="D18" s="22" t="s">
        <v>20</v>
      </c>
      <c r="E18" s="28">
        <f t="shared" si="0"/>
        <v>1</v>
      </c>
      <c r="F18" s="22"/>
      <c r="G18" s="24"/>
      <c r="H18" s="22"/>
      <c r="I18" s="25"/>
      <c r="J18" s="27" t="s">
        <v>17</v>
      </c>
    </row>
    <row r="19" spans="2:13" ht="13.5" hidden="1" thickBot="1" x14ac:dyDescent="0.25">
      <c r="B19" s="4">
        <v>8</v>
      </c>
      <c r="C19" s="22" t="s">
        <v>19</v>
      </c>
      <c r="D19" s="22" t="s">
        <v>20</v>
      </c>
      <c r="E19" s="28">
        <f t="shared" si="0"/>
        <v>1</v>
      </c>
      <c r="F19" s="22"/>
      <c r="G19" s="24"/>
      <c r="H19" s="22"/>
      <c r="I19" s="25"/>
      <c r="J19" s="27" t="s">
        <v>17</v>
      </c>
      <c r="L19" s="19" t="s">
        <v>23</v>
      </c>
      <c r="M19">
        <v>4</v>
      </c>
    </row>
    <row r="20" spans="2:13" ht="13.5" hidden="1" thickBot="1" x14ac:dyDescent="0.25">
      <c r="B20" s="4">
        <v>9</v>
      </c>
      <c r="C20" s="22" t="s">
        <v>19</v>
      </c>
      <c r="D20" s="22" t="s">
        <v>20</v>
      </c>
      <c r="E20" s="28">
        <f t="shared" si="0"/>
        <v>1</v>
      </c>
      <c r="F20" s="22"/>
      <c r="G20" s="24"/>
      <c r="H20" s="22"/>
      <c r="I20" s="22"/>
      <c r="J20" s="27" t="s">
        <v>17</v>
      </c>
      <c r="L20" s="19" t="s">
        <v>20</v>
      </c>
      <c r="M20">
        <v>1</v>
      </c>
    </row>
    <row r="21" spans="2:13" ht="13.5" hidden="1" thickBot="1" x14ac:dyDescent="0.25">
      <c r="B21" s="5">
        <v>10</v>
      </c>
      <c r="C21" s="22" t="s">
        <v>19</v>
      </c>
      <c r="D21" s="22" t="s">
        <v>20</v>
      </c>
      <c r="E21" s="28">
        <f t="shared" si="0"/>
        <v>1</v>
      </c>
      <c r="F21" s="23"/>
      <c r="G21" s="24"/>
      <c r="H21" s="23"/>
      <c r="I21" s="26"/>
      <c r="J21" s="27" t="s">
        <v>17</v>
      </c>
      <c r="L21" s="19" t="s">
        <v>21</v>
      </c>
      <c r="M21">
        <v>2</v>
      </c>
    </row>
    <row r="22" spans="2:13" ht="13.5" hidden="1" thickBot="1" x14ac:dyDescent="0.25">
      <c r="B22" s="4">
        <v>11</v>
      </c>
      <c r="C22" s="22" t="s">
        <v>19</v>
      </c>
      <c r="D22" s="22" t="s">
        <v>20</v>
      </c>
      <c r="E22" s="28">
        <f t="shared" si="0"/>
        <v>1</v>
      </c>
      <c r="F22" s="22"/>
      <c r="G22" s="24"/>
      <c r="H22" s="22"/>
      <c r="I22" s="25"/>
      <c r="J22" s="27" t="s">
        <v>17</v>
      </c>
      <c r="L22" s="19" t="s">
        <v>22</v>
      </c>
      <c r="M22">
        <v>3</v>
      </c>
    </row>
    <row r="23" spans="2:13" ht="13.5" hidden="1" thickBot="1" x14ac:dyDescent="0.25">
      <c r="B23" s="4">
        <v>12</v>
      </c>
      <c r="C23" s="22" t="s">
        <v>19</v>
      </c>
      <c r="D23" s="22" t="s">
        <v>20</v>
      </c>
      <c r="E23" s="28">
        <f t="shared" si="0"/>
        <v>1</v>
      </c>
      <c r="F23" s="22"/>
      <c r="G23" s="24"/>
      <c r="H23" s="22"/>
      <c r="I23" s="25"/>
      <c r="J23" s="27" t="s">
        <v>17</v>
      </c>
    </row>
    <row r="24" spans="2:13" ht="13.5" hidden="1" thickBot="1" x14ac:dyDescent="0.25">
      <c r="B24" s="4">
        <v>13</v>
      </c>
      <c r="C24" s="22" t="s">
        <v>19</v>
      </c>
      <c r="D24" s="22" t="s">
        <v>20</v>
      </c>
      <c r="E24" s="28">
        <f t="shared" si="0"/>
        <v>1</v>
      </c>
      <c r="F24" s="22"/>
      <c r="G24" s="24"/>
      <c r="H24" s="22"/>
      <c r="I24" s="25"/>
      <c r="J24" s="27" t="s">
        <v>17</v>
      </c>
    </row>
    <row r="25" spans="2:13" ht="13.5" hidden="1" thickBot="1" x14ac:dyDescent="0.25">
      <c r="B25" s="4">
        <v>14</v>
      </c>
      <c r="C25" s="22" t="s">
        <v>19</v>
      </c>
      <c r="D25" s="22" t="s">
        <v>20</v>
      </c>
      <c r="E25" s="28">
        <f t="shared" si="0"/>
        <v>1</v>
      </c>
      <c r="F25" s="22"/>
      <c r="G25" s="24"/>
      <c r="H25" s="22"/>
      <c r="I25" s="25"/>
      <c r="J25" s="27" t="s">
        <v>17</v>
      </c>
    </row>
    <row r="26" spans="2:13" ht="13.5" hidden="1" thickBot="1" x14ac:dyDescent="0.25">
      <c r="B26" s="4">
        <v>15</v>
      </c>
      <c r="C26" s="22" t="s">
        <v>19</v>
      </c>
      <c r="D26" s="22" t="s">
        <v>20</v>
      </c>
      <c r="E26" s="28">
        <f t="shared" si="0"/>
        <v>1</v>
      </c>
      <c r="F26" s="22"/>
      <c r="G26" s="24"/>
      <c r="H26" s="22"/>
      <c r="I26" s="25"/>
      <c r="J26" s="27" t="s">
        <v>17</v>
      </c>
    </row>
    <row r="27" spans="2:13" ht="13.5" hidden="1" thickBot="1" x14ac:dyDescent="0.25">
      <c r="B27" s="4">
        <v>16</v>
      </c>
      <c r="C27" s="22" t="s">
        <v>19</v>
      </c>
      <c r="D27" s="22" t="s">
        <v>20</v>
      </c>
      <c r="E27" s="28">
        <f t="shared" si="0"/>
        <v>1</v>
      </c>
      <c r="F27" s="22"/>
      <c r="G27" s="24"/>
      <c r="H27" s="22"/>
      <c r="I27" s="25"/>
      <c r="J27" s="27" t="s">
        <v>17</v>
      </c>
    </row>
    <row r="28" spans="2:13" ht="13.5" hidden="1" thickBot="1" x14ac:dyDescent="0.25">
      <c r="B28" s="4">
        <v>17</v>
      </c>
      <c r="C28" s="22" t="s">
        <v>19</v>
      </c>
      <c r="D28" s="22" t="s">
        <v>20</v>
      </c>
      <c r="E28" s="28">
        <f t="shared" si="0"/>
        <v>1</v>
      </c>
      <c r="F28" s="22"/>
      <c r="G28" s="24"/>
      <c r="H28" s="22"/>
      <c r="I28" s="25"/>
      <c r="J28" s="27" t="s">
        <v>17</v>
      </c>
    </row>
    <row r="29" spans="2:13" ht="13.5" hidden="1" thickBot="1" x14ac:dyDescent="0.25">
      <c r="B29" s="4">
        <v>18</v>
      </c>
      <c r="C29" s="22" t="s">
        <v>19</v>
      </c>
      <c r="D29" s="22" t="s">
        <v>20</v>
      </c>
      <c r="E29" s="28">
        <f t="shared" si="0"/>
        <v>1</v>
      </c>
      <c r="F29" s="22"/>
      <c r="G29" s="24"/>
      <c r="H29" s="22"/>
      <c r="I29" s="25"/>
      <c r="J29" s="27" t="s">
        <v>17</v>
      </c>
    </row>
    <row r="30" spans="2:13" ht="13.5" hidden="1" thickBot="1" x14ac:dyDescent="0.25">
      <c r="B30" s="4">
        <v>19</v>
      </c>
      <c r="C30" s="22" t="s">
        <v>19</v>
      </c>
      <c r="D30" s="22" t="s">
        <v>20</v>
      </c>
      <c r="E30" s="28">
        <f t="shared" si="0"/>
        <v>1</v>
      </c>
      <c r="F30" s="22"/>
      <c r="G30" s="24"/>
      <c r="H30" s="22"/>
      <c r="I30" s="25"/>
      <c r="J30" s="27" t="s">
        <v>17</v>
      </c>
    </row>
    <row r="31" spans="2:13" ht="13.5" hidden="1" thickBot="1" x14ac:dyDescent="0.25">
      <c r="B31" s="4">
        <v>20</v>
      </c>
      <c r="C31" s="22" t="s">
        <v>19</v>
      </c>
      <c r="D31" s="22" t="s">
        <v>20</v>
      </c>
      <c r="E31" s="28">
        <f t="shared" si="0"/>
        <v>1</v>
      </c>
      <c r="F31" s="22"/>
      <c r="G31" s="24"/>
      <c r="H31" s="22"/>
      <c r="I31" s="25"/>
      <c r="J31" s="27" t="s">
        <v>17</v>
      </c>
    </row>
    <row r="32" spans="2:13" ht="13.5" hidden="1" thickBot="1" x14ac:dyDescent="0.25">
      <c r="B32" s="4">
        <v>21</v>
      </c>
      <c r="C32" s="22" t="s">
        <v>19</v>
      </c>
      <c r="D32" s="22" t="s">
        <v>20</v>
      </c>
      <c r="E32" s="28">
        <f t="shared" ref="E32" si="1">LOOKUP(C32,$L$14:$M$17)*LOOKUP(D32,$L$19:$M$22)</f>
        <v>1</v>
      </c>
      <c r="F32" s="22"/>
      <c r="G32" s="24"/>
      <c r="H32" s="22"/>
      <c r="I32" s="25"/>
      <c r="J32" s="27" t="s">
        <v>17</v>
      </c>
    </row>
    <row r="33" spans="2:10" ht="13.5" thickBot="1" x14ac:dyDescent="0.25">
      <c r="B33" s="6" t="s">
        <v>0</v>
      </c>
      <c r="C33" s="3">
        <f>SUM(C21:C32)</f>
        <v>0</v>
      </c>
      <c r="D33" s="3">
        <f>SUM(D21:D32)</f>
        <v>0</v>
      </c>
      <c r="E33" s="2">
        <f>SUM(E12:E16)</f>
        <v>26</v>
      </c>
      <c r="F33" s="1"/>
      <c r="G33" s="7"/>
      <c r="H33" s="1"/>
      <c r="I33" s="17"/>
      <c r="J33" s="8"/>
    </row>
  </sheetData>
  <sortState ref="C12:J31">
    <sortCondition descending="1" ref="E12:E31"/>
  </sortState>
  <mergeCells count="11">
    <mergeCell ref="F7:F11"/>
    <mergeCell ref="G7:G11"/>
    <mergeCell ref="H7:H11"/>
    <mergeCell ref="B1:J1"/>
    <mergeCell ref="J7:J11"/>
    <mergeCell ref="I7:I11"/>
    <mergeCell ref="C7:C11"/>
    <mergeCell ref="D7:D11"/>
    <mergeCell ref="B6:J6"/>
    <mergeCell ref="B7:B11"/>
    <mergeCell ref="E7:E11"/>
  </mergeCells>
  <phoneticPr fontId="0" type="noConversion"/>
  <dataValidations count="3">
    <dataValidation type="list" allowBlank="1" showInputMessage="1" showErrorMessage="1" sqref="G15 G12:G14 G16:G32">
      <formula1>$L$8:$L$11</formula1>
    </dataValidation>
    <dataValidation type="list" allowBlank="1" showInputMessage="1" showErrorMessage="1" sqref="C12:C32">
      <formula1>$L$14:$L$17</formula1>
    </dataValidation>
    <dataValidation type="list" allowBlank="1" showInputMessage="1" showErrorMessage="1" sqref="D12:D32">
      <formula1>$L$19:$L$22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33</xdr:row>
                    <xdr:rowOff>66675</xdr:rowOff>
                  </from>
                  <to>
                    <xdr:col>10</xdr:col>
                    <xdr:colOff>9525</xdr:colOff>
                    <xdr:row>34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1:M32"/>
  <sheetViews>
    <sheetView topLeftCell="A4" zoomScale="130" zoomScaleNormal="130" workbookViewId="0">
      <selection activeCell="H13" sqref="H13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57" thickBot="1" x14ac:dyDescent="0.25">
      <c r="B12" s="4">
        <v>1</v>
      </c>
      <c r="C12" s="22" t="s">
        <v>9</v>
      </c>
      <c r="D12" s="22" t="s">
        <v>22</v>
      </c>
      <c r="E12" s="28">
        <f>LOOKUP(C12,$L$13:$M$16)*LOOKUP(D12,$L$18:$M$21)</f>
        <v>12</v>
      </c>
      <c r="F12" s="22" t="s">
        <v>74</v>
      </c>
      <c r="G12" s="24" t="s">
        <v>14</v>
      </c>
      <c r="H12" s="22" t="s">
        <v>43</v>
      </c>
      <c r="I12" s="25" t="s">
        <v>40</v>
      </c>
      <c r="J12" s="27">
        <v>43164</v>
      </c>
    </row>
    <row r="13" spans="2:13" ht="45.75" thickBot="1" x14ac:dyDescent="0.25">
      <c r="B13" s="4">
        <v>2</v>
      </c>
      <c r="C13" s="22" t="s">
        <v>10</v>
      </c>
      <c r="D13" s="22" t="s">
        <v>21</v>
      </c>
      <c r="E13" s="28">
        <f>LOOKUP(C13,$L$13:$M$16)*LOOKUP(D13,$L$18:$M$21)</f>
        <v>6</v>
      </c>
      <c r="F13" s="22" t="s">
        <v>75</v>
      </c>
      <c r="G13" s="24" t="s">
        <v>14</v>
      </c>
      <c r="H13" s="22" t="s">
        <v>79</v>
      </c>
      <c r="I13" s="25" t="s">
        <v>44</v>
      </c>
      <c r="J13" s="27">
        <v>43164</v>
      </c>
      <c r="L13" s="19" t="s">
        <v>9</v>
      </c>
      <c r="M13">
        <v>4</v>
      </c>
    </row>
    <row r="14" spans="2:13" ht="45.75" thickBot="1" x14ac:dyDescent="0.25">
      <c r="B14" s="4">
        <v>3</v>
      </c>
      <c r="C14" s="22" t="s">
        <v>8</v>
      </c>
      <c r="D14" s="22" t="s">
        <v>20</v>
      </c>
      <c r="E14" s="28">
        <v>1</v>
      </c>
      <c r="F14" s="22" t="s">
        <v>76</v>
      </c>
      <c r="G14" s="24" t="s">
        <v>14</v>
      </c>
      <c r="H14" s="22" t="s">
        <v>46</v>
      </c>
      <c r="I14" s="25" t="s">
        <v>45</v>
      </c>
      <c r="J14" s="13">
        <v>43164</v>
      </c>
      <c r="L14" s="19" t="s">
        <v>8</v>
      </c>
      <c r="M14">
        <v>2</v>
      </c>
    </row>
    <row r="15" spans="2:13" ht="13.5" hidden="1" thickBot="1" x14ac:dyDescent="0.25">
      <c r="B15" s="4">
        <v>5</v>
      </c>
      <c r="C15" s="22" t="s">
        <v>19</v>
      </c>
      <c r="D15" s="22" t="s">
        <v>20</v>
      </c>
      <c r="E15" s="28">
        <f t="shared" ref="E15:E31" si="0">LOOKUP(C15,$L$13:$M$16)*LOOKUP(D15,$L$18:$M$21)</f>
        <v>1</v>
      </c>
      <c r="F15" s="22"/>
      <c r="G15" s="24"/>
      <c r="H15" s="22"/>
      <c r="I15" s="25"/>
      <c r="J15" s="13" t="s">
        <v>17</v>
      </c>
      <c r="L15" s="19" t="s">
        <v>10</v>
      </c>
      <c r="M15">
        <v>3</v>
      </c>
    </row>
    <row r="16" spans="2:13" ht="13.5" hidden="1" thickBot="1" x14ac:dyDescent="0.25">
      <c r="B16" s="4">
        <v>6</v>
      </c>
      <c r="C16" s="22" t="s">
        <v>19</v>
      </c>
      <c r="D16" s="22" t="s">
        <v>20</v>
      </c>
      <c r="E16" s="28">
        <f t="shared" si="0"/>
        <v>1</v>
      </c>
      <c r="F16" s="22"/>
      <c r="G16" s="24"/>
      <c r="H16" s="22"/>
      <c r="I16" s="25"/>
      <c r="J16" s="13" t="s">
        <v>17</v>
      </c>
      <c r="L16" s="19" t="s">
        <v>19</v>
      </c>
      <c r="M16">
        <v>1</v>
      </c>
    </row>
    <row r="17" spans="2:13" ht="13.5" hidden="1" thickBot="1" x14ac:dyDescent="0.25">
      <c r="B17" s="4">
        <v>7</v>
      </c>
      <c r="C17" s="22" t="s">
        <v>19</v>
      </c>
      <c r="D17" s="22" t="s">
        <v>20</v>
      </c>
      <c r="E17" s="28">
        <f t="shared" si="0"/>
        <v>1</v>
      </c>
      <c r="F17" s="22"/>
      <c r="G17" s="24"/>
      <c r="H17" s="22"/>
      <c r="I17" s="25"/>
      <c r="J17" s="13" t="s">
        <v>17</v>
      </c>
    </row>
    <row r="18" spans="2:13" ht="13.5" hidden="1" thickBot="1" x14ac:dyDescent="0.25">
      <c r="B18" s="4">
        <v>8</v>
      </c>
      <c r="C18" s="22" t="s">
        <v>19</v>
      </c>
      <c r="D18" s="22" t="s">
        <v>20</v>
      </c>
      <c r="E18" s="28">
        <f t="shared" si="0"/>
        <v>1</v>
      </c>
      <c r="F18" s="22"/>
      <c r="G18" s="24"/>
      <c r="H18" s="22"/>
      <c r="I18" s="25"/>
      <c r="J18" s="13" t="s">
        <v>17</v>
      </c>
      <c r="L18" s="19" t="s">
        <v>23</v>
      </c>
      <c r="M18">
        <v>4</v>
      </c>
    </row>
    <row r="19" spans="2:13" ht="13.5" hidden="1" thickBot="1" x14ac:dyDescent="0.25">
      <c r="B19" s="4">
        <v>9</v>
      </c>
      <c r="C19" s="22" t="s">
        <v>19</v>
      </c>
      <c r="D19" s="22" t="s">
        <v>20</v>
      </c>
      <c r="E19" s="28">
        <f t="shared" si="0"/>
        <v>1</v>
      </c>
      <c r="F19" s="22"/>
      <c r="G19" s="24"/>
      <c r="H19" s="22"/>
      <c r="I19" s="22"/>
      <c r="J19" s="13" t="s">
        <v>17</v>
      </c>
      <c r="L19" s="19" t="s">
        <v>20</v>
      </c>
      <c r="M19">
        <v>1</v>
      </c>
    </row>
    <row r="20" spans="2:13" ht="13.5" hidden="1" thickBot="1" x14ac:dyDescent="0.25">
      <c r="B20" s="5">
        <v>10</v>
      </c>
      <c r="C20" s="22" t="s">
        <v>19</v>
      </c>
      <c r="D20" s="22" t="s">
        <v>20</v>
      </c>
      <c r="E20" s="28">
        <f t="shared" si="0"/>
        <v>1</v>
      </c>
      <c r="F20" s="23"/>
      <c r="G20" s="24"/>
      <c r="H20" s="23"/>
      <c r="I20" s="26"/>
      <c r="J20" s="13" t="s">
        <v>17</v>
      </c>
      <c r="L20" s="19" t="s">
        <v>21</v>
      </c>
      <c r="M20">
        <v>2</v>
      </c>
    </row>
    <row r="21" spans="2:13" ht="13.5" hidden="1" thickBot="1" x14ac:dyDescent="0.25">
      <c r="B21" s="4">
        <v>11</v>
      </c>
      <c r="C21" s="22" t="s">
        <v>19</v>
      </c>
      <c r="D21" s="22" t="s">
        <v>20</v>
      </c>
      <c r="E21" s="28">
        <f t="shared" si="0"/>
        <v>1</v>
      </c>
      <c r="F21" s="22"/>
      <c r="G21" s="24"/>
      <c r="H21" s="22"/>
      <c r="I21" s="25"/>
      <c r="J21" s="13" t="s">
        <v>17</v>
      </c>
      <c r="L21" s="19" t="s">
        <v>22</v>
      </c>
      <c r="M21">
        <v>3</v>
      </c>
    </row>
    <row r="22" spans="2:13" ht="13.5" hidden="1" thickBot="1" x14ac:dyDescent="0.25">
      <c r="B22" s="4">
        <v>12</v>
      </c>
      <c r="C22" s="22" t="s">
        <v>19</v>
      </c>
      <c r="D22" s="22" t="s">
        <v>20</v>
      </c>
      <c r="E22" s="28">
        <f t="shared" si="0"/>
        <v>1</v>
      </c>
      <c r="F22" s="22"/>
      <c r="G22" s="24"/>
      <c r="H22" s="22"/>
      <c r="I22" s="25"/>
      <c r="J22" s="13" t="s">
        <v>17</v>
      </c>
    </row>
    <row r="23" spans="2:13" ht="13.5" hidden="1" thickBot="1" x14ac:dyDescent="0.25">
      <c r="B23" s="4">
        <v>13</v>
      </c>
      <c r="C23" s="22" t="s">
        <v>19</v>
      </c>
      <c r="D23" s="22" t="s">
        <v>20</v>
      </c>
      <c r="E23" s="28">
        <f t="shared" si="0"/>
        <v>1</v>
      </c>
      <c r="F23" s="22"/>
      <c r="G23" s="24"/>
      <c r="H23" s="22"/>
      <c r="I23" s="25"/>
      <c r="J23" s="13" t="s">
        <v>17</v>
      </c>
    </row>
    <row r="24" spans="2:13" ht="13.5" hidden="1" thickBot="1" x14ac:dyDescent="0.25">
      <c r="B24" s="4">
        <v>14</v>
      </c>
      <c r="C24" s="22" t="s">
        <v>19</v>
      </c>
      <c r="D24" s="22" t="s">
        <v>20</v>
      </c>
      <c r="E24" s="28">
        <f t="shared" si="0"/>
        <v>1</v>
      </c>
      <c r="F24" s="22"/>
      <c r="G24" s="24"/>
      <c r="H24" s="22"/>
      <c r="I24" s="25"/>
      <c r="J24" s="13" t="s">
        <v>17</v>
      </c>
    </row>
    <row r="25" spans="2:13" ht="13.5" hidden="1" thickBot="1" x14ac:dyDescent="0.25">
      <c r="B25" s="4">
        <v>15</v>
      </c>
      <c r="C25" s="22" t="s">
        <v>19</v>
      </c>
      <c r="D25" s="22" t="s">
        <v>20</v>
      </c>
      <c r="E25" s="28">
        <f t="shared" si="0"/>
        <v>1</v>
      </c>
      <c r="F25" s="22"/>
      <c r="G25" s="24"/>
      <c r="H25" s="22"/>
      <c r="I25" s="25"/>
      <c r="J25" s="13" t="s">
        <v>17</v>
      </c>
    </row>
    <row r="26" spans="2:13" ht="13.5" hidden="1" thickBot="1" x14ac:dyDescent="0.25">
      <c r="B26" s="4">
        <v>16</v>
      </c>
      <c r="C26" s="14" t="s">
        <v>19</v>
      </c>
      <c r="D26" s="14" t="s">
        <v>20</v>
      </c>
      <c r="E26" s="2">
        <f t="shared" si="0"/>
        <v>1</v>
      </c>
      <c r="F26" s="14"/>
      <c r="G26" s="29"/>
      <c r="H26" s="14"/>
      <c r="I26" s="30"/>
      <c r="J26" s="13" t="s">
        <v>17</v>
      </c>
    </row>
    <row r="27" spans="2:13" ht="13.5" hidden="1" thickBot="1" x14ac:dyDescent="0.25">
      <c r="B27" s="4">
        <v>17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hidden="1" thickBot="1" x14ac:dyDescent="0.25">
      <c r="B28" s="4">
        <v>18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hidden="1" thickBot="1" x14ac:dyDescent="0.25">
      <c r="B29" s="4">
        <v>19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hidden="1" thickBot="1" x14ac:dyDescent="0.25">
      <c r="B30" s="4">
        <v>20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hidden="1" thickBot="1" x14ac:dyDescent="0.25">
      <c r="B31" s="4">
        <v>21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SUM(E12:E14)</f>
        <v>19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G7:G11"/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</mergeCells>
  <dataValidations count="3">
    <dataValidation type="list" allowBlank="1" showInputMessage="1" showErrorMessage="1" sqref="D12:D31">
      <formula1>$L$18:$L$21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G12:G31">
      <formula1>$L$8:$L$11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1:M32"/>
  <sheetViews>
    <sheetView zoomScaleNormal="100" workbookViewId="0">
      <selection activeCell="I7" sqref="I7:I1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45.75" thickBot="1" x14ac:dyDescent="0.25">
      <c r="B12" s="4">
        <v>1</v>
      </c>
      <c r="C12" s="22" t="s">
        <v>10</v>
      </c>
      <c r="D12" s="22" t="s">
        <v>21</v>
      </c>
      <c r="E12" s="28">
        <f>LOOKUP(C12,$L$13:$M$16)*LOOKUP(D12,$L$18:$M$21)</f>
        <v>6</v>
      </c>
      <c r="F12" s="22" t="s">
        <v>77</v>
      </c>
      <c r="G12" s="24" t="s">
        <v>14</v>
      </c>
      <c r="H12" s="22" t="s">
        <v>59</v>
      </c>
      <c r="I12" s="25" t="s">
        <v>47</v>
      </c>
      <c r="J12" s="27">
        <v>43165</v>
      </c>
    </row>
    <row r="13" spans="2:13" ht="57" thickBot="1" x14ac:dyDescent="0.25">
      <c r="B13" s="4">
        <v>2</v>
      </c>
      <c r="C13" s="22" t="s">
        <v>10</v>
      </c>
      <c r="D13" s="22" t="s">
        <v>20</v>
      </c>
      <c r="E13" s="28">
        <f>LOOKUP(C13,$L$13:$M$16)*LOOKUP(D13,$L$18:$M$21)</f>
        <v>3</v>
      </c>
      <c r="F13" s="22" t="s">
        <v>31</v>
      </c>
      <c r="G13" s="24" t="s">
        <v>14</v>
      </c>
      <c r="H13" s="22" t="s">
        <v>48</v>
      </c>
      <c r="I13" s="25" t="s">
        <v>80</v>
      </c>
      <c r="J13" s="27">
        <v>43165</v>
      </c>
      <c r="L13" s="19" t="s">
        <v>9</v>
      </c>
      <c r="M13">
        <v>4</v>
      </c>
    </row>
    <row r="14" spans="2:13" ht="13.5" hidden="1" thickBot="1" x14ac:dyDescent="0.25">
      <c r="B14" s="4">
        <v>3</v>
      </c>
      <c r="C14" s="22" t="s">
        <v>19</v>
      </c>
      <c r="D14" s="22" t="s">
        <v>20</v>
      </c>
      <c r="E14" s="28">
        <v>1</v>
      </c>
      <c r="F14" s="22"/>
      <c r="G14" s="24"/>
      <c r="H14" s="22"/>
      <c r="I14" s="25"/>
      <c r="J14" s="13" t="s">
        <v>17</v>
      </c>
      <c r="L14" s="19" t="s">
        <v>8</v>
      </c>
      <c r="M14">
        <v>2</v>
      </c>
    </row>
    <row r="15" spans="2:13" ht="13.5" hidden="1" thickBot="1" x14ac:dyDescent="0.25">
      <c r="B15" s="4">
        <v>4</v>
      </c>
      <c r="C15" s="14" t="s">
        <v>19</v>
      </c>
      <c r="D15" s="14" t="s">
        <v>20</v>
      </c>
      <c r="E15" s="2">
        <f t="shared" ref="E15:E31" si="0">LOOKUP(C15,$L$13:$M$16)*LOOKUP(D15,$L$18:$M$21)</f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hidden="1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hidden="1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hidden="1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hidden="1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hidden="1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hidden="1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hidden="1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hidden="1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hidden="1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hidden="1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hidden="1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hidden="1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hidden="1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hidden="1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hidden="1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hidden="1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SUM(E12:E13)</f>
        <v>9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G12:G31">
      <formula1>$L$8:$L$11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D12:D31">
      <formula1>$L$18:$L$21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B1:M32"/>
  <sheetViews>
    <sheetView topLeftCell="A8" zoomScale="115" zoomScaleNormal="115" workbookViewId="0">
      <selection activeCell="F14" sqref="F14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45.75" thickBot="1" x14ac:dyDescent="0.25">
      <c r="B12" s="4">
        <v>1</v>
      </c>
      <c r="C12" s="22" t="s">
        <v>10</v>
      </c>
      <c r="D12" s="22" t="s">
        <v>20</v>
      </c>
      <c r="E12" s="28">
        <f>LOOKUP(C12,$L$13:$M$16)*LOOKUP(D12,$L$18:$M$21)</f>
        <v>3</v>
      </c>
      <c r="F12" s="21" t="s">
        <v>32</v>
      </c>
      <c r="G12" s="24" t="s">
        <v>13</v>
      </c>
      <c r="H12" s="21" t="s">
        <v>49</v>
      </c>
      <c r="I12" s="25" t="s">
        <v>50</v>
      </c>
      <c r="J12" s="27">
        <v>43184</v>
      </c>
    </row>
    <row r="13" spans="2:13" ht="34.5" thickBot="1" x14ac:dyDescent="0.25">
      <c r="B13" s="4">
        <v>2</v>
      </c>
      <c r="C13" s="22" t="s">
        <v>10</v>
      </c>
      <c r="D13" s="22" t="s">
        <v>20</v>
      </c>
      <c r="E13" s="28">
        <f>LOOKUP(C13,$L$13:$M$16)*LOOKUP(D13,$L$18:$M$21)</f>
        <v>3</v>
      </c>
      <c r="F13" s="22" t="s">
        <v>78</v>
      </c>
      <c r="G13" s="24" t="s">
        <v>13</v>
      </c>
      <c r="H13" s="22" t="s">
        <v>28</v>
      </c>
      <c r="I13" s="25" t="s">
        <v>51</v>
      </c>
      <c r="J13" s="27">
        <v>43184</v>
      </c>
      <c r="L13" s="19" t="s">
        <v>9</v>
      </c>
      <c r="M13">
        <v>4</v>
      </c>
    </row>
    <row r="14" spans="2:13" ht="79.5" thickBot="1" x14ac:dyDescent="0.25">
      <c r="B14" s="4">
        <v>3</v>
      </c>
      <c r="C14" s="22" t="s">
        <v>10</v>
      </c>
      <c r="D14" s="22" t="s">
        <v>20</v>
      </c>
      <c r="E14" s="28">
        <f>LOOKUP(C14,$L$13:$M$16)*LOOKUP(D14,$L$18:$M$21)</f>
        <v>3</v>
      </c>
      <c r="F14" s="22" t="s">
        <v>52</v>
      </c>
      <c r="G14" s="24" t="s">
        <v>14</v>
      </c>
      <c r="H14" s="22" t="s">
        <v>53</v>
      </c>
      <c r="I14" s="25" t="s">
        <v>54</v>
      </c>
      <c r="J14" s="27">
        <v>43184</v>
      </c>
      <c r="L14" s="19" t="s">
        <v>8</v>
      </c>
      <c r="M14">
        <v>2</v>
      </c>
    </row>
    <row r="15" spans="2:13" ht="13.5" hidden="1" thickBot="1" x14ac:dyDescent="0.25">
      <c r="B15" s="4">
        <v>4</v>
      </c>
      <c r="C15" s="22" t="s">
        <v>19</v>
      </c>
      <c r="D15" s="22" t="s">
        <v>20</v>
      </c>
      <c r="E15" s="28">
        <v>1</v>
      </c>
      <c r="F15" s="22"/>
      <c r="G15" s="24"/>
      <c r="H15" s="22"/>
      <c r="I15" s="25"/>
      <c r="J15" s="13" t="s">
        <v>17</v>
      </c>
      <c r="L15" s="19" t="s">
        <v>10</v>
      </c>
      <c r="M15">
        <v>3</v>
      </c>
    </row>
    <row r="16" spans="2:13" ht="13.5" hidden="1" thickBot="1" x14ac:dyDescent="0.25">
      <c r="B16" s="4">
        <v>5</v>
      </c>
      <c r="C16" s="22" t="s">
        <v>19</v>
      </c>
      <c r="D16" s="22" t="s">
        <v>20</v>
      </c>
      <c r="E16" s="28">
        <v>1</v>
      </c>
      <c r="F16" s="22"/>
      <c r="G16" s="24"/>
      <c r="H16" s="22"/>
      <c r="I16" s="25"/>
      <c r="J16" s="13" t="s">
        <v>17</v>
      </c>
      <c r="L16" s="19" t="s">
        <v>19</v>
      </c>
      <c r="M16">
        <v>1</v>
      </c>
    </row>
    <row r="17" spans="2:13" ht="13.5" hidden="1" thickBot="1" x14ac:dyDescent="0.25">
      <c r="B17" s="4">
        <v>6</v>
      </c>
      <c r="C17" s="14" t="s">
        <v>19</v>
      </c>
      <c r="D17" s="14" t="s">
        <v>20</v>
      </c>
      <c r="E17" s="2">
        <f t="shared" ref="E17:E31" si="0">LOOKUP(C17,$L$13:$M$16)*LOOKUP(D17,$L$18:$M$21)</f>
        <v>1</v>
      </c>
      <c r="F17" s="10"/>
      <c r="G17" s="11"/>
      <c r="H17" s="10"/>
      <c r="I17" s="15"/>
      <c r="J17" s="13" t="s">
        <v>17</v>
      </c>
    </row>
    <row r="18" spans="2:13" ht="13.5" hidden="1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hidden="1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hidden="1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hidden="1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hidden="1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hidden="1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hidden="1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hidden="1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hidden="1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hidden="1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hidden="1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hidden="1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hidden="1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hidden="1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SUM(E12:E14)</f>
        <v>9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D12:D31">
      <formula1>$L$18:$L$21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G12:G31">
      <formula1>$L$8:$L$11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Ordenar">
                <anchor moveWithCells="1">
                  <from>
                    <xdr:col>0</xdr:col>
                    <xdr:colOff>428625</xdr:colOff>
                    <xdr:row>32</xdr:row>
                    <xdr:rowOff>66675</xdr:rowOff>
                  </from>
                  <to>
                    <xdr:col>10</xdr:col>
                    <xdr:colOff>0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B1:M32"/>
  <sheetViews>
    <sheetView topLeftCell="B4" zoomScale="115" zoomScaleNormal="115" workbookViewId="0">
      <selection activeCell="F15" sqref="F15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57" thickBot="1" x14ac:dyDescent="0.25">
      <c r="B12" s="4">
        <v>1</v>
      </c>
      <c r="C12" s="22" t="s">
        <v>10</v>
      </c>
      <c r="D12" s="22" t="s">
        <v>20</v>
      </c>
      <c r="E12" s="28">
        <f t="shared" ref="E12:E31" si="0">LOOKUP(C12,$L$13:$M$16)*LOOKUP(D12,$L$18:$M$21)</f>
        <v>3</v>
      </c>
      <c r="F12" s="22" t="s">
        <v>31</v>
      </c>
      <c r="G12" s="24" t="s">
        <v>14</v>
      </c>
      <c r="H12" s="22" t="s">
        <v>55</v>
      </c>
      <c r="I12" s="25" t="s">
        <v>56</v>
      </c>
      <c r="J12" s="27">
        <v>43205</v>
      </c>
    </row>
    <row r="13" spans="2:13" ht="34.5" thickBot="1" x14ac:dyDescent="0.25">
      <c r="B13" s="4">
        <v>2</v>
      </c>
      <c r="C13" s="22" t="s">
        <v>10</v>
      </c>
      <c r="D13" s="22" t="s">
        <v>20</v>
      </c>
      <c r="E13" s="28">
        <f t="shared" si="0"/>
        <v>3</v>
      </c>
      <c r="F13" s="21" t="s">
        <v>32</v>
      </c>
      <c r="G13" s="24" t="s">
        <v>13</v>
      </c>
      <c r="H13" s="21" t="s">
        <v>60</v>
      </c>
      <c r="I13" s="25" t="s">
        <v>27</v>
      </c>
      <c r="J13" s="27">
        <v>43205</v>
      </c>
      <c r="L13" s="19" t="s">
        <v>9</v>
      </c>
      <c r="M13">
        <v>4</v>
      </c>
    </row>
    <row r="14" spans="2:13" ht="34.5" thickBot="1" x14ac:dyDescent="0.25">
      <c r="B14" s="4">
        <v>3</v>
      </c>
      <c r="C14" s="22" t="s">
        <v>10</v>
      </c>
      <c r="D14" s="22" t="s">
        <v>20</v>
      </c>
      <c r="E14" s="28">
        <f t="shared" si="0"/>
        <v>3</v>
      </c>
      <c r="F14" s="22" t="s">
        <v>68</v>
      </c>
      <c r="G14" s="24" t="s">
        <v>14</v>
      </c>
      <c r="H14" s="22" t="s">
        <v>61</v>
      </c>
      <c r="I14" s="25" t="s">
        <v>30</v>
      </c>
      <c r="J14" s="27">
        <v>43205</v>
      </c>
      <c r="L14" s="19" t="s">
        <v>8</v>
      </c>
      <c r="M14">
        <v>2</v>
      </c>
    </row>
    <row r="15" spans="2:13" ht="68.25" thickBot="1" x14ac:dyDescent="0.25">
      <c r="B15" s="4">
        <v>4</v>
      </c>
      <c r="C15" s="14" t="s">
        <v>10</v>
      </c>
      <c r="D15" s="14" t="s">
        <v>20</v>
      </c>
      <c r="E15" s="2">
        <f t="shared" si="0"/>
        <v>3</v>
      </c>
      <c r="F15" s="14" t="s">
        <v>57</v>
      </c>
      <c r="G15" s="29" t="s">
        <v>14</v>
      </c>
      <c r="H15" s="14" t="s">
        <v>58</v>
      </c>
      <c r="I15" s="30" t="s">
        <v>62</v>
      </c>
      <c r="J15" s="13">
        <v>43205</v>
      </c>
      <c r="L15" s="19" t="s">
        <v>10</v>
      </c>
      <c r="M15">
        <v>3</v>
      </c>
    </row>
    <row r="16" spans="2:13" ht="13.5" hidden="1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hidden="1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hidden="1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hidden="1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hidden="1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hidden="1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hidden="1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hidden="1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hidden="1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hidden="1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hidden="1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hidden="1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hidden="1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hidden="1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hidden="1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hidden="1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SUM(E12:E14)</f>
        <v>9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G12:G31">
      <formula1>$L$8:$L$11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D12:D31">
      <formula1>$L$18:$L$21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B1:M32"/>
  <sheetViews>
    <sheetView tabSelected="1" topLeftCell="A4" zoomScale="115" zoomScaleNormal="115" workbookViewId="0">
      <selection activeCell="I36" sqref="I36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45.75" thickBot="1" x14ac:dyDescent="0.25">
      <c r="B12" s="4">
        <v>1</v>
      </c>
      <c r="C12" s="22" t="s">
        <v>10</v>
      </c>
      <c r="D12" s="22" t="s">
        <v>20</v>
      </c>
      <c r="E12" s="28">
        <v>3</v>
      </c>
      <c r="F12" s="22" t="s">
        <v>63</v>
      </c>
      <c r="G12" s="24" t="s">
        <v>13</v>
      </c>
      <c r="H12" s="22" t="s">
        <v>64</v>
      </c>
      <c r="I12" s="25" t="s">
        <v>65</v>
      </c>
      <c r="J12" s="27">
        <v>43227</v>
      </c>
    </row>
    <row r="13" spans="2:13" ht="68.25" thickBot="1" x14ac:dyDescent="0.25">
      <c r="B13" s="4">
        <v>2</v>
      </c>
      <c r="C13" s="22" t="s">
        <v>10</v>
      </c>
      <c r="D13" s="22" t="s">
        <v>20</v>
      </c>
      <c r="E13" s="28">
        <f t="shared" ref="E13:E31" si="0">LOOKUP(C13,$L$13:$M$16)*LOOKUP(D13,$L$18:$M$21)</f>
        <v>3</v>
      </c>
      <c r="F13" s="21" t="s">
        <v>67</v>
      </c>
      <c r="G13" s="24" t="s">
        <v>14</v>
      </c>
      <c r="H13" s="21" t="s">
        <v>66</v>
      </c>
      <c r="I13" s="25" t="s">
        <v>27</v>
      </c>
      <c r="J13" s="27">
        <v>43227</v>
      </c>
      <c r="L13" s="19" t="s">
        <v>9</v>
      </c>
      <c r="M13">
        <v>4</v>
      </c>
    </row>
    <row r="14" spans="2:13" ht="13.5" hidden="1" thickBot="1" x14ac:dyDescent="0.25">
      <c r="B14" s="4">
        <v>3</v>
      </c>
      <c r="C14" s="22" t="s">
        <v>19</v>
      </c>
      <c r="D14" s="22" t="s">
        <v>20</v>
      </c>
      <c r="E14" s="28">
        <v>0</v>
      </c>
      <c r="F14" s="22"/>
      <c r="G14" s="24"/>
      <c r="H14" s="22"/>
      <c r="I14" s="25"/>
      <c r="J14" s="13" t="s">
        <v>17</v>
      </c>
      <c r="L14" s="19" t="s">
        <v>8</v>
      </c>
      <c r="M14">
        <v>2</v>
      </c>
    </row>
    <row r="15" spans="2:13" ht="13.5" hidden="1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hidden="1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hidden="1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hidden="1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hidden="1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hidden="1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hidden="1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hidden="1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hidden="1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hidden="1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hidden="1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hidden="1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hidden="1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hidden="1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hidden="1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hidden="1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hidden="1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SUM(E12:E13)</f>
        <v>6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D12:D31">
      <formula1>$L$18:$L$21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G12:G31">
      <formula1>$L$8:$L$11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B1:M32"/>
  <sheetViews>
    <sheetView topLeftCell="A4" zoomScale="115" zoomScaleNormal="115" workbookViewId="0">
      <selection activeCell="S16" sqref="S16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22" t="s">
        <v>19</v>
      </c>
      <c r="D12" s="22" t="s">
        <v>20</v>
      </c>
      <c r="E12" s="28">
        <v>3</v>
      </c>
      <c r="F12" s="22"/>
      <c r="G12" s="24"/>
      <c r="H12" s="22"/>
      <c r="I12" s="25"/>
      <c r="J12" s="13">
        <v>43316</v>
      </c>
    </row>
    <row r="13" spans="2:13" ht="13.5" thickBot="1" x14ac:dyDescent="0.25">
      <c r="B13" s="4">
        <v>2</v>
      </c>
      <c r="C13" s="22" t="s">
        <v>19</v>
      </c>
      <c r="D13" s="22" t="s">
        <v>20</v>
      </c>
      <c r="E13" s="28">
        <f>LOOKUP(C13,$L$13:$M$16)*LOOKUP(D13,$L$18:$M$21)</f>
        <v>1</v>
      </c>
      <c r="F13" s="21"/>
      <c r="G13" s="24"/>
      <c r="H13" s="21"/>
      <c r="I13" s="2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22" t="s">
        <v>19</v>
      </c>
      <c r="D14" s="22" t="s">
        <v>20</v>
      </c>
      <c r="E14" s="28">
        <f>LOOKUP(C14,$L$13:$M$16)*LOOKUP(D14,$L$18:$M$21)</f>
        <v>1</v>
      </c>
      <c r="F14" s="22"/>
      <c r="G14" s="24"/>
      <c r="H14" s="22"/>
      <c r="I14" s="2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22" t="s">
        <v>19</v>
      </c>
      <c r="D15" s="22" t="s">
        <v>20</v>
      </c>
      <c r="E15" s="28">
        <f>LOOKUP(C15,'Reunião 6'!$L$13:$M$16)*LOOKUP(D15,'Reunião 6'!$L$18:$M$21)</f>
        <v>1</v>
      </c>
      <c r="F15" s="22"/>
      <c r="G15" s="24"/>
      <c r="H15" s="22"/>
      <c r="I15" s="2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ref="E16:E31" si="0">LOOKUP(C16,$L$13:$M$16)*LOOKUP(D16,$L$18:$M$21)</f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G12:G31">
      <formula1>$L$8:$L$11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D12:D31">
      <formula1>$L$18:$L$21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B1:M32"/>
  <sheetViews>
    <sheetView topLeftCell="A7" zoomScale="115" zoomScaleNormal="115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22" t="s">
        <v>19</v>
      </c>
      <c r="D12" s="22" t="s">
        <v>20</v>
      </c>
      <c r="E12" s="28">
        <v>1</v>
      </c>
      <c r="F12" s="22"/>
      <c r="G12" s="24"/>
      <c r="H12" s="22"/>
      <c r="I12" s="25"/>
      <c r="J12" s="13" t="s">
        <v>17</v>
      </c>
    </row>
    <row r="13" spans="2:13" ht="13.5" thickBot="1" x14ac:dyDescent="0.25">
      <c r="B13" s="4">
        <v>2</v>
      </c>
      <c r="C13" s="22" t="s">
        <v>19</v>
      </c>
      <c r="D13" s="22" t="s">
        <v>20</v>
      </c>
      <c r="E13" s="28">
        <f>LOOKUP(C13,$L$13:$M$16)*LOOKUP(D13,$L$18:$M$21)</f>
        <v>1</v>
      </c>
      <c r="F13" s="21"/>
      <c r="G13" s="24"/>
      <c r="H13" s="21"/>
      <c r="I13" s="2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22" t="s">
        <v>19</v>
      </c>
      <c r="D14" s="22" t="s">
        <v>20</v>
      </c>
      <c r="E14" s="28">
        <f>LOOKUP(C14,$L$13:$M$16)*LOOKUP(D14,$L$18:$M$21)</f>
        <v>1</v>
      </c>
      <c r="F14" s="22"/>
      <c r="G14" s="24"/>
      <c r="H14" s="22"/>
      <c r="I14" s="2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22" t="s">
        <v>19</v>
      </c>
      <c r="D15" s="22" t="s">
        <v>20</v>
      </c>
      <c r="E15" s="28">
        <f>LOOKUP(C15,'Reunião 6'!$L$13:$M$16)*LOOKUP(D15,'Reunião 6'!$L$18:$M$21)</f>
        <v>1</v>
      </c>
      <c r="F15" s="22"/>
      <c r="G15" s="24"/>
      <c r="H15" s="22"/>
      <c r="I15" s="2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ref="E16:E31" si="0">LOOKUP(C16,$L$13:$M$16)*LOOKUP(D16,$L$18:$M$21)</f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D12:D31">
      <formula1>$L$18:$L$21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G12:G31">
      <formula1>$L$8:$L$11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B1:M32"/>
  <sheetViews>
    <sheetView zoomScale="115" zoomScaleNormal="115" workbookViewId="0">
      <selection activeCell="I16" sqref="I16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22" t="s">
        <v>19</v>
      </c>
      <c r="D12" s="22" t="s">
        <v>20</v>
      </c>
      <c r="E12" s="28">
        <f>LOOKUP(C12,'Reunião 6'!$L$13:$M$16)*LOOKUP(D12,'Reunião 6'!$L$18:$M$21)</f>
        <v>1</v>
      </c>
      <c r="F12" s="22"/>
      <c r="G12" s="24"/>
      <c r="H12" s="22"/>
      <c r="I12" s="25"/>
      <c r="J12" s="13" t="s">
        <v>17</v>
      </c>
    </row>
    <row r="13" spans="2:13" ht="13.5" thickBot="1" x14ac:dyDescent="0.25">
      <c r="B13" s="4">
        <v>2</v>
      </c>
      <c r="C13" s="22" t="s">
        <v>19</v>
      </c>
      <c r="D13" s="22" t="s">
        <v>20</v>
      </c>
      <c r="E13" s="28">
        <f>LOOKUP(C13,'Reunião 6'!$L$13:$M$16)*LOOKUP(D13,'Reunião 6'!$L$18:$M$21)</f>
        <v>1</v>
      </c>
      <c r="F13" s="21"/>
      <c r="G13" s="24"/>
      <c r="H13" s="21"/>
      <c r="I13" s="2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22" t="s">
        <v>19</v>
      </c>
      <c r="D14" s="22" t="s">
        <v>20</v>
      </c>
      <c r="E14" s="28">
        <f>LOOKUP(C14,'Reunião 6'!$L$13:$M$16)*LOOKUP(D14,'Reunião 6'!$L$18:$M$21)</f>
        <v>1</v>
      </c>
      <c r="F14" s="22"/>
      <c r="G14" s="24"/>
      <c r="H14" s="22"/>
      <c r="I14" s="2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>LOOKUP(C15,'Reunião 6'!$L$13:$M$16)*LOOKUP(D15,'Reunião 6'!$L$18:$M$21)</f>
        <v>1</v>
      </c>
      <c r="F15" s="22"/>
      <c r="G15" s="24"/>
      <c r="H15" s="22"/>
      <c r="I15" s="2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ref="E16:E31" si="0">LOOKUP(C16,$L$13:$M$16)*LOOKUP(D16,$L$18:$M$21)</f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G12:G31">
      <formula1>$L$8:$L$11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D12:D31">
      <formula1>$L$18:$L$21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B1:M32"/>
  <sheetViews>
    <sheetView zoomScale="115" zoomScaleNormal="115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22" t="s">
        <v>19</v>
      </c>
      <c r="D12" s="22" t="s">
        <v>20</v>
      </c>
      <c r="E12" s="28">
        <f>LOOKUP(C12,'Reunião 6'!$L$13:$M$16)*LOOKUP(D12,'Reunião 6'!$L$18:$M$21)</f>
        <v>1</v>
      </c>
      <c r="F12" s="22"/>
      <c r="G12" s="24"/>
      <c r="H12" s="22"/>
      <c r="I12" s="25"/>
      <c r="J12" s="13" t="s">
        <v>17</v>
      </c>
    </row>
    <row r="13" spans="2:13" ht="13.5" thickBot="1" x14ac:dyDescent="0.25">
      <c r="B13" s="4">
        <v>2</v>
      </c>
      <c r="C13" s="22" t="s">
        <v>19</v>
      </c>
      <c r="D13" s="22" t="s">
        <v>20</v>
      </c>
      <c r="E13" s="28">
        <f>LOOKUP(C13,'Reunião 6'!$L$13:$M$16)*LOOKUP(D13,'Reunião 6'!$L$18:$M$21)</f>
        <v>1</v>
      </c>
      <c r="F13" s="22"/>
      <c r="G13" s="24"/>
      <c r="H13" s="22"/>
      <c r="I13" s="2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19</v>
      </c>
      <c r="D14" s="14" t="s">
        <v>20</v>
      </c>
      <c r="E14" s="28">
        <f>LOOKUP(C14,'Reunião 6'!$L$13:$M$16)*LOOKUP(D14,'Reunião 6'!$L$18:$M$21)</f>
        <v>1</v>
      </c>
      <c r="F14" s="22"/>
      <c r="G14" s="24"/>
      <c r="H14" s="22"/>
      <c r="I14" s="2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ref="E15:E31" si="0">LOOKUP(C15,$L$13:$M$16)*LOOKUP(D15,$L$18:$M$21)</f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D12:D31">
      <formula1>$L$18:$L$21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G12:G31">
      <formula1>$L$8:$L$11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B1:M32"/>
  <sheetViews>
    <sheetView zoomScale="115" zoomScaleNormal="115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22" t="s">
        <v>19</v>
      </c>
      <c r="D12" s="22" t="s">
        <v>20</v>
      </c>
      <c r="E12" s="28">
        <f>LOOKUP(C12,'Reunião 6'!$L$13:$M$16)*LOOKUP(D12,'Reunião 6'!$L$18:$M$21)</f>
        <v>1</v>
      </c>
      <c r="F12" s="22"/>
      <c r="G12" s="24"/>
      <c r="H12" s="22"/>
      <c r="I12" s="25"/>
      <c r="J12" s="13" t="s">
        <v>17</v>
      </c>
    </row>
    <row r="13" spans="2:13" ht="13.5" thickBot="1" x14ac:dyDescent="0.25">
      <c r="B13" s="4">
        <v>2</v>
      </c>
      <c r="C13" s="22" t="s">
        <v>19</v>
      </c>
      <c r="D13" s="22" t="s">
        <v>20</v>
      </c>
      <c r="E13" s="28">
        <f>LOOKUP(C13,'Reunião 6'!$L$13:$M$16)*LOOKUP(D13,'Reunião 6'!$L$18:$M$21)</f>
        <v>1</v>
      </c>
      <c r="F13" s="22"/>
      <c r="G13" s="24"/>
      <c r="H13" s="22"/>
      <c r="I13" s="2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19</v>
      </c>
      <c r="D14" s="22" t="s">
        <v>20</v>
      </c>
      <c r="E14" s="28">
        <f>LOOKUP(C14,'Reunião 6'!$L$13:$M$16)*LOOKUP(D14,'Reunião 6'!$L$18:$M$21)</f>
        <v>1</v>
      </c>
      <c r="F14" s="22"/>
      <c r="G14" s="24"/>
      <c r="H14" s="22"/>
      <c r="I14" s="2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ref="E15:E31" si="0">LOOKUP(C15,$L$13:$M$16)*LOOKUP(D15,$L$18:$M$21)</f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G12:G31">
      <formula1>$L$8:$L$11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D12:D31">
      <formula1>$L$18:$L$21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10</v>
      </c>
      <c r="D12" s="14" t="s">
        <v>20</v>
      </c>
      <c r="E12" s="2">
        <f t="shared" ref="E12:E31" si="0">LOOKUP(C12,$L$13:$M$16)*LOOKUP(D12,$L$18:$M$21)</f>
        <v>3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19</v>
      </c>
      <c r="D13" s="14" t="s">
        <v>20</v>
      </c>
      <c r="E13" s="2">
        <f t="shared" si="0"/>
        <v>1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19</v>
      </c>
      <c r="D14" s="14" t="s">
        <v>20</v>
      </c>
      <c r="E14" s="2">
        <f t="shared" si="0"/>
        <v>1</v>
      </c>
      <c r="F14" s="22"/>
      <c r="G14" s="24"/>
      <c r="H14" s="22"/>
      <c r="I14" s="2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D12:D31">
      <formula1>$L$18:$L$21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G12:G31">
      <formula1>$L$8:$L$11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19</v>
      </c>
      <c r="D12" s="14" t="s">
        <v>20</v>
      </c>
      <c r="E12" s="2">
        <v>1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19</v>
      </c>
      <c r="D13" s="14" t="s">
        <v>20</v>
      </c>
      <c r="E13" s="2">
        <v>1</v>
      </c>
      <c r="F13" s="22"/>
      <c r="G13" s="24"/>
      <c r="H13" s="22"/>
      <c r="I13" s="2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19</v>
      </c>
      <c r="D14" s="14" t="s">
        <v>20</v>
      </c>
      <c r="E14" s="2">
        <v>1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ref="E15:E31" si="0">LOOKUP(C15,$L$13:$M$16)*LOOKUP(D15,$L$18:$M$21)</f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G12:G31">
      <formula1>$L$8:$L$11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D12:D31">
      <formula1>$L$18:$L$21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9</v>
      </c>
      <c r="D12" s="14" t="s">
        <v>22</v>
      </c>
      <c r="E12" s="2">
        <f t="shared" ref="E12:E31" si="0">LOOKUP(C12,$L$13:$M$16)*LOOKUP(D12,$L$18:$M$21)</f>
        <v>12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10</v>
      </c>
      <c r="D13" s="14" t="s">
        <v>20</v>
      </c>
      <c r="E13" s="2">
        <f t="shared" si="0"/>
        <v>3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10</v>
      </c>
      <c r="D14" s="14" t="s">
        <v>20</v>
      </c>
      <c r="E14" s="2">
        <f t="shared" si="0"/>
        <v>3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D12:D31">
      <formula1>$L$18:$L$21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G12:G31">
      <formula1>$L$8:$L$11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B1:M32"/>
  <sheetViews>
    <sheetView topLeftCell="E4"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19</v>
      </c>
      <c r="D12" s="14" t="s">
        <v>20</v>
      </c>
      <c r="E12" s="2">
        <f t="shared" ref="E12:E31" si="0">LOOKUP(C12,$L$13:$M$16)*LOOKUP(D12,$L$18:$M$21)</f>
        <v>1</v>
      </c>
      <c r="F12" s="10"/>
      <c r="G12" s="11"/>
      <c r="H12" s="10"/>
      <c r="I12" s="15"/>
      <c r="J12" s="13" t="s">
        <v>17</v>
      </c>
    </row>
    <row r="13" spans="2:13" ht="13.5" thickBot="1" x14ac:dyDescent="0.25">
      <c r="B13" s="4">
        <v>2</v>
      </c>
      <c r="C13" s="14" t="s">
        <v>19</v>
      </c>
      <c r="D13" s="14" t="s">
        <v>20</v>
      </c>
      <c r="E13" s="2">
        <f t="shared" si="0"/>
        <v>1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19</v>
      </c>
      <c r="D14" s="14" t="s">
        <v>20</v>
      </c>
      <c r="E14" s="2">
        <f t="shared" si="0"/>
        <v>1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G12:G31">
      <formula1>$L$8:$L$11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D12:D31">
      <formula1>$L$18:$L$21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9</v>
      </c>
      <c r="D12" s="14" t="s">
        <v>22</v>
      </c>
      <c r="E12" s="2">
        <f t="shared" ref="E12:E31" si="0">LOOKUP(C12,$L$13:$M$16)*LOOKUP(D12,$L$18:$M$21)</f>
        <v>12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10</v>
      </c>
      <c r="D13" s="14" t="s">
        <v>20</v>
      </c>
      <c r="E13" s="2">
        <f t="shared" si="0"/>
        <v>3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10</v>
      </c>
      <c r="D14" s="14" t="s">
        <v>20</v>
      </c>
      <c r="E14" s="2">
        <f t="shared" si="0"/>
        <v>3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D12:D31">
      <formula1>$L$18:$L$21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G12:G31">
      <formula1>$L$8:$L$11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9</v>
      </c>
      <c r="D12" s="14" t="s">
        <v>22</v>
      </c>
      <c r="E12" s="2">
        <f t="shared" ref="E12:E31" si="0">LOOKUP(C12,$L$13:$M$16)*LOOKUP(D12,$L$18:$M$21)</f>
        <v>12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10</v>
      </c>
      <c r="D13" s="14" t="s">
        <v>20</v>
      </c>
      <c r="E13" s="2">
        <f t="shared" si="0"/>
        <v>3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10</v>
      </c>
      <c r="D14" s="14" t="s">
        <v>20</v>
      </c>
      <c r="E14" s="2">
        <f t="shared" si="0"/>
        <v>3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G12:G31">
      <formula1>$L$8:$L$11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D12:D31">
      <formula1>$L$18:$L$21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8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9</v>
      </c>
      <c r="D12" s="14" t="s">
        <v>22</v>
      </c>
      <c r="E12" s="2">
        <f t="shared" ref="E12:E31" si="0">LOOKUP(C12,$L$13:$M$16)*LOOKUP(D12,$L$18:$M$21)</f>
        <v>12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10</v>
      </c>
      <c r="D13" s="14" t="s">
        <v>20</v>
      </c>
      <c r="E13" s="2">
        <f t="shared" si="0"/>
        <v>3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10</v>
      </c>
      <c r="D14" s="14" t="s">
        <v>20</v>
      </c>
      <c r="E14" s="2">
        <f t="shared" si="0"/>
        <v>3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D12:D31">
      <formula1>$L$18:$L$21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G12:G31">
      <formula1>$L$8:$L$11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9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9</v>
      </c>
      <c r="D12" s="14" t="s">
        <v>22</v>
      </c>
      <c r="E12" s="2">
        <f t="shared" ref="E12:E31" si="0">LOOKUP(C12,$L$13:$M$16)*LOOKUP(D12,$L$18:$M$21)</f>
        <v>12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10</v>
      </c>
      <c r="D13" s="14" t="s">
        <v>20</v>
      </c>
      <c r="E13" s="2">
        <f t="shared" si="0"/>
        <v>3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10</v>
      </c>
      <c r="D14" s="14" t="s">
        <v>20</v>
      </c>
      <c r="E14" s="2">
        <f t="shared" si="0"/>
        <v>3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G12:G31">
      <formula1>$L$8:$L$11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D12:D31">
      <formula1>$L$18:$L$21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9</v>
      </c>
      <c r="D12" s="14" t="s">
        <v>22</v>
      </c>
      <c r="E12" s="2">
        <f t="shared" ref="E12:E31" si="0">LOOKUP(C12,$L$13:$M$16)*LOOKUP(D12,$L$18:$M$21)</f>
        <v>12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10</v>
      </c>
      <c r="D13" s="14" t="s">
        <v>20</v>
      </c>
      <c r="E13" s="2">
        <f t="shared" si="0"/>
        <v>3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10</v>
      </c>
      <c r="D14" s="14" t="s">
        <v>20</v>
      </c>
      <c r="E14" s="2">
        <f t="shared" si="0"/>
        <v>3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D12:D31">
      <formula1>$L$18:$L$21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G12:G31">
      <formula1>$L$8:$L$11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1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9</v>
      </c>
      <c r="D12" s="14" t="s">
        <v>22</v>
      </c>
      <c r="E12" s="2">
        <f t="shared" ref="E12:E31" si="0">LOOKUP(C12,$L$13:$M$16)*LOOKUP(D12,$L$18:$M$21)</f>
        <v>12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10</v>
      </c>
      <c r="D13" s="14" t="s">
        <v>20</v>
      </c>
      <c r="E13" s="2">
        <f t="shared" si="0"/>
        <v>3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10</v>
      </c>
      <c r="D14" s="14" t="s">
        <v>20</v>
      </c>
      <c r="E14" s="2">
        <f t="shared" si="0"/>
        <v>3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G12:G31">
      <formula1>$L$8:$L$11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D12:D31">
      <formula1>$L$18:$L$21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2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9</v>
      </c>
      <c r="D12" s="14" t="s">
        <v>22</v>
      </c>
      <c r="E12" s="2">
        <f t="shared" ref="E12:E31" si="0">LOOKUP(C12,$L$13:$M$16)*LOOKUP(D12,$L$18:$M$21)</f>
        <v>12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10</v>
      </c>
      <c r="D13" s="14" t="s">
        <v>20</v>
      </c>
      <c r="E13" s="2">
        <f t="shared" si="0"/>
        <v>3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10</v>
      </c>
      <c r="D14" s="14" t="s">
        <v>20</v>
      </c>
      <c r="E14" s="2">
        <f t="shared" si="0"/>
        <v>3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D12:D31">
      <formula1>$L$18:$L$21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G12:G31">
      <formula1>$L$8:$L$11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3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9</v>
      </c>
      <c r="D12" s="14" t="s">
        <v>22</v>
      </c>
      <c r="E12" s="2">
        <f t="shared" ref="E12:E31" si="0">LOOKUP(C12,$L$13:$M$16)*LOOKUP(D12,$L$18:$M$21)</f>
        <v>12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10</v>
      </c>
      <c r="D13" s="14" t="s">
        <v>20</v>
      </c>
      <c r="E13" s="2">
        <f t="shared" si="0"/>
        <v>3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10</v>
      </c>
      <c r="D14" s="14" t="s">
        <v>20</v>
      </c>
      <c r="E14" s="2">
        <f t="shared" si="0"/>
        <v>3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G12:G31">
      <formula1>$L$8:$L$11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D12:D31">
      <formula1>$L$18:$L$21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4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9</v>
      </c>
      <c r="D12" s="14" t="s">
        <v>22</v>
      </c>
      <c r="E12" s="2">
        <f t="shared" ref="E12:E31" si="0">LOOKUP(C12,$L$13:$M$16)*LOOKUP(D12,$L$18:$M$21)</f>
        <v>12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10</v>
      </c>
      <c r="D13" s="14" t="s">
        <v>20</v>
      </c>
      <c r="E13" s="2">
        <f t="shared" si="0"/>
        <v>3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10</v>
      </c>
      <c r="D14" s="14" t="s">
        <v>20</v>
      </c>
      <c r="E14" s="2">
        <f t="shared" si="0"/>
        <v>3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D12:D31">
      <formula1>$L$18:$L$21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G12:G31">
      <formula1>$L$8:$L$11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5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9</v>
      </c>
      <c r="D12" s="14" t="s">
        <v>22</v>
      </c>
      <c r="E12" s="2">
        <f t="shared" ref="E12:E31" si="0">LOOKUP(C12,$L$13:$M$16)*LOOKUP(D12,$L$18:$M$21)</f>
        <v>12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10</v>
      </c>
      <c r="D13" s="14" t="s">
        <v>20</v>
      </c>
      <c r="E13" s="2">
        <f t="shared" si="0"/>
        <v>3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10</v>
      </c>
      <c r="D14" s="14" t="s">
        <v>20</v>
      </c>
      <c r="E14" s="2">
        <f t="shared" si="0"/>
        <v>3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G12:G31">
      <formula1>$L$8:$L$11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D12:D31">
      <formula1>$L$18:$L$21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6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9</v>
      </c>
      <c r="D12" s="14" t="s">
        <v>22</v>
      </c>
      <c r="E12" s="2">
        <f t="shared" ref="E12:E31" si="0">LOOKUP(C12,$L$13:$M$16)*LOOKUP(D12,$L$18:$M$21)</f>
        <v>12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10</v>
      </c>
      <c r="D13" s="14" t="s">
        <v>20</v>
      </c>
      <c r="E13" s="2">
        <f t="shared" si="0"/>
        <v>3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10</v>
      </c>
      <c r="D14" s="14" t="s">
        <v>20</v>
      </c>
      <c r="E14" s="2">
        <f t="shared" si="0"/>
        <v>3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D12:D31">
      <formula1>$L$18:$L$21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G12:G31">
      <formula1>$L$8:$L$11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7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9</v>
      </c>
      <c r="D12" s="14" t="s">
        <v>22</v>
      </c>
      <c r="E12" s="2">
        <f t="shared" ref="E12:E31" si="0">LOOKUP(C12,$L$13:$M$16)*LOOKUP(D12,$L$18:$M$21)</f>
        <v>12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10</v>
      </c>
      <c r="D13" s="14" t="s">
        <v>20</v>
      </c>
      <c r="E13" s="2">
        <f t="shared" si="0"/>
        <v>3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10</v>
      </c>
      <c r="D14" s="14" t="s">
        <v>20</v>
      </c>
      <c r="E14" s="2">
        <f t="shared" si="0"/>
        <v>3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G12:G31">
      <formula1>$L$8:$L$11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D12:D31">
      <formula1>$L$18:$L$21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8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9</v>
      </c>
      <c r="D12" s="14" t="s">
        <v>22</v>
      </c>
      <c r="E12" s="2">
        <f t="shared" ref="E12:E31" si="0">LOOKUP(C12,$L$13:$M$16)*LOOKUP(D12,$L$18:$M$21)</f>
        <v>12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10</v>
      </c>
      <c r="D13" s="14" t="s">
        <v>20</v>
      </c>
      <c r="E13" s="2">
        <f t="shared" si="0"/>
        <v>3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10</v>
      </c>
      <c r="D14" s="14" t="s">
        <v>20</v>
      </c>
      <c r="E14" s="2">
        <f t="shared" si="0"/>
        <v>3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D12:D31">
      <formula1>$L$18:$L$21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G12:G31">
      <formula1>$L$8:$L$11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9</v>
      </c>
      <c r="D12" s="14" t="s">
        <v>22</v>
      </c>
      <c r="E12" s="2">
        <f t="shared" ref="E12:E31" si="0">LOOKUP(C12,$L$13:$M$16)*LOOKUP(D12,$L$18:$M$21)</f>
        <v>12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10</v>
      </c>
      <c r="D13" s="14" t="s">
        <v>20</v>
      </c>
      <c r="E13" s="2">
        <f t="shared" si="0"/>
        <v>3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10</v>
      </c>
      <c r="D14" s="14" t="s">
        <v>20</v>
      </c>
      <c r="E14" s="2">
        <f t="shared" si="0"/>
        <v>3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G12:G31">
      <formula1>$L$8:$L$11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D12:D31">
      <formula1>$L$18:$L$21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0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9</v>
      </c>
      <c r="D12" s="14" t="s">
        <v>22</v>
      </c>
      <c r="E12" s="2">
        <f t="shared" ref="E12:E31" si="0">LOOKUP(C12,$L$13:$M$16)*LOOKUP(D12,$L$18:$M$21)</f>
        <v>12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10</v>
      </c>
      <c r="D13" s="14" t="s">
        <v>20</v>
      </c>
      <c r="E13" s="2">
        <f t="shared" si="0"/>
        <v>3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10</v>
      </c>
      <c r="D14" s="14" t="s">
        <v>20</v>
      </c>
      <c r="E14" s="2">
        <f t="shared" si="0"/>
        <v>3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D12:D31">
      <formula1>$L$18:$L$21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G12:G31">
      <formula1>$L$8:$L$11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1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9</v>
      </c>
      <c r="D12" s="14" t="s">
        <v>22</v>
      </c>
      <c r="E12" s="2">
        <f t="shared" ref="E12:E31" si="0">LOOKUP(C12,$L$13:$M$16)*LOOKUP(D12,$L$18:$M$21)</f>
        <v>12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10</v>
      </c>
      <c r="D13" s="14" t="s">
        <v>20</v>
      </c>
      <c r="E13" s="2">
        <f t="shared" si="0"/>
        <v>3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10</v>
      </c>
      <c r="D14" s="14" t="s">
        <v>20</v>
      </c>
      <c r="E14" s="2">
        <f t="shared" si="0"/>
        <v>3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G12:G31">
      <formula1>$L$8:$L$11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D12:D31">
      <formula1>$L$18:$L$21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2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9</v>
      </c>
      <c r="D12" s="14" t="s">
        <v>22</v>
      </c>
      <c r="E12" s="2">
        <f t="shared" ref="E12:E31" si="0">LOOKUP(C12,$L$13:$M$16)*LOOKUP(D12,$L$18:$M$21)</f>
        <v>12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10</v>
      </c>
      <c r="D13" s="14" t="s">
        <v>20</v>
      </c>
      <c r="E13" s="2">
        <f t="shared" si="0"/>
        <v>3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10</v>
      </c>
      <c r="D14" s="14" t="s">
        <v>20</v>
      </c>
      <c r="E14" s="2">
        <f t="shared" si="0"/>
        <v>3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D12:D31">
      <formula1>$L$18:$L$21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G12:G31">
      <formula1>$L$8:$L$11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3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9</v>
      </c>
      <c r="D12" s="14" t="s">
        <v>22</v>
      </c>
      <c r="E12" s="2">
        <f t="shared" ref="E12:E31" si="0">LOOKUP(C12,$L$13:$M$16)*LOOKUP(D12,$L$18:$M$21)</f>
        <v>12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10</v>
      </c>
      <c r="D13" s="14" t="s">
        <v>20</v>
      </c>
      <c r="E13" s="2">
        <f t="shared" si="0"/>
        <v>3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10</v>
      </c>
      <c r="D14" s="14" t="s">
        <v>20</v>
      </c>
      <c r="E14" s="2">
        <f t="shared" si="0"/>
        <v>3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G12:G31">
      <formula1>$L$8:$L$11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D12:D31">
      <formula1>$L$18:$L$21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4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9</v>
      </c>
      <c r="D12" s="14" t="s">
        <v>22</v>
      </c>
      <c r="E12" s="2">
        <f t="shared" ref="E12:E31" si="0">LOOKUP(C12,$L$13:$M$16)*LOOKUP(D12,$L$18:$M$21)</f>
        <v>12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10</v>
      </c>
      <c r="D13" s="14" t="s">
        <v>20</v>
      </c>
      <c r="E13" s="2">
        <f t="shared" si="0"/>
        <v>3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10</v>
      </c>
      <c r="D14" s="14" t="s">
        <v>20</v>
      </c>
      <c r="E14" s="2">
        <f t="shared" si="0"/>
        <v>3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D12:D31">
      <formula1>$L$18:$L$21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G12:G31">
      <formula1>$L$8:$L$11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5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9</v>
      </c>
      <c r="D12" s="14" t="s">
        <v>22</v>
      </c>
      <c r="E12" s="2">
        <f t="shared" ref="E12:E31" si="0">LOOKUP(C12,$L$13:$M$16)*LOOKUP(D12,$L$18:$M$21)</f>
        <v>12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10</v>
      </c>
      <c r="D13" s="14" t="s">
        <v>20</v>
      </c>
      <c r="E13" s="2">
        <f t="shared" si="0"/>
        <v>3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10</v>
      </c>
      <c r="D14" s="14" t="s">
        <v>20</v>
      </c>
      <c r="E14" s="2">
        <f t="shared" si="0"/>
        <v>3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G12:G31">
      <formula1>$L$8:$L$11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D12:D31">
      <formula1>$L$18:$L$21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6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9</v>
      </c>
      <c r="D12" s="14" t="s">
        <v>22</v>
      </c>
      <c r="E12" s="2">
        <f t="shared" ref="E12:E31" si="0">LOOKUP(C12,$L$13:$M$16)*LOOKUP(D12,$L$18:$M$21)</f>
        <v>12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10</v>
      </c>
      <c r="D13" s="14" t="s">
        <v>20</v>
      </c>
      <c r="E13" s="2">
        <f t="shared" si="0"/>
        <v>3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10</v>
      </c>
      <c r="D14" s="14" t="s">
        <v>20</v>
      </c>
      <c r="E14" s="2">
        <f t="shared" si="0"/>
        <v>3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D12:D31">
      <formula1>$L$18:$L$21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G12:G31">
      <formula1>$L$8:$L$11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7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9</v>
      </c>
      <c r="D12" s="14" t="s">
        <v>22</v>
      </c>
      <c r="E12" s="2">
        <f t="shared" ref="E12:E31" si="0">LOOKUP(C12,$L$13:$M$16)*LOOKUP(D12,$L$18:$M$21)</f>
        <v>12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10</v>
      </c>
      <c r="D13" s="14" t="s">
        <v>20</v>
      </c>
      <c r="E13" s="2">
        <f t="shared" si="0"/>
        <v>3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10</v>
      </c>
      <c r="D14" s="14" t="s">
        <v>20</v>
      </c>
      <c r="E14" s="2">
        <f t="shared" si="0"/>
        <v>3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G12:G31">
      <formula1>$L$8:$L$11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D12:D31">
      <formula1>$L$18:$L$21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8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9</v>
      </c>
      <c r="D12" s="14" t="s">
        <v>22</v>
      </c>
      <c r="E12" s="2">
        <f t="shared" ref="E12:E31" si="0">LOOKUP(C12,$L$13:$M$16)*LOOKUP(D12,$L$18:$M$21)</f>
        <v>12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10</v>
      </c>
      <c r="D13" s="14" t="s">
        <v>20</v>
      </c>
      <c r="E13" s="2">
        <f t="shared" si="0"/>
        <v>3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10</v>
      </c>
      <c r="D14" s="14" t="s">
        <v>20</v>
      </c>
      <c r="E14" s="2">
        <f t="shared" si="0"/>
        <v>3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D12:D31">
      <formula1>$L$18:$L$21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G12:G31">
      <formula1>$L$8:$L$11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9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9</v>
      </c>
      <c r="D12" s="14" t="s">
        <v>22</v>
      </c>
      <c r="E12" s="2">
        <f t="shared" ref="E12:E31" si="0">LOOKUP(C12,$L$13:$M$16)*LOOKUP(D12,$L$18:$M$21)</f>
        <v>12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10</v>
      </c>
      <c r="D13" s="14" t="s">
        <v>20</v>
      </c>
      <c r="E13" s="2">
        <f t="shared" si="0"/>
        <v>3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10</v>
      </c>
      <c r="D14" s="14" t="s">
        <v>20</v>
      </c>
      <c r="E14" s="2">
        <f t="shared" si="0"/>
        <v>3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G12:G31">
      <formula1>$L$8:$L$11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D12:D31">
      <formula1>$L$18:$L$21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0"/>
  <dimension ref="B1:M32"/>
  <sheetViews>
    <sheetView zoomScale="130" zoomScaleNormal="130" workbookViewId="0">
      <selection activeCell="C12" sqref="C12:J31"/>
    </sheetView>
  </sheetViews>
  <sheetFormatPr defaultRowHeight="12.75" x14ac:dyDescent="0.2"/>
  <cols>
    <col min="1" max="1" width="6.7109375" customWidth="1"/>
    <col min="2" max="2" width="5.7109375" customWidth="1"/>
    <col min="3" max="3" width="9.28515625" bestFit="1" customWidth="1"/>
    <col min="4" max="4" width="12" bestFit="1" customWidth="1"/>
    <col min="5" max="5" width="11.7109375" bestFit="1" customWidth="1"/>
    <col min="6" max="6" width="22.7109375" customWidth="1"/>
    <col min="7" max="7" width="11.28515625" customWidth="1"/>
    <col min="8" max="9" width="22.7109375" customWidth="1"/>
    <col min="12" max="12" width="12.85546875" style="18" hidden="1" customWidth="1"/>
    <col min="13" max="13" width="0" hidden="1" customWidth="1"/>
  </cols>
  <sheetData>
    <row r="1" spans="2:13" x14ac:dyDescent="0.2">
      <c r="B1" s="37" t="s">
        <v>24</v>
      </c>
      <c r="C1" s="37"/>
      <c r="D1" s="37"/>
      <c r="E1" s="37"/>
      <c r="F1" s="37"/>
      <c r="G1" s="37"/>
      <c r="H1" s="37"/>
      <c r="I1" s="37"/>
      <c r="J1" s="37"/>
    </row>
    <row r="3" spans="2:13" x14ac:dyDescent="0.2">
      <c r="B3" s="20" t="s">
        <v>26</v>
      </c>
    </row>
    <row r="4" spans="2:13" x14ac:dyDescent="0.2">
      <c r="B4" s="20" t="s">
        <v>25</v>
      </c>
    </row>
    <row r="5" spans="2:13" ht="13.5" thickBot="1" x14ac:dyDescent="0.25"/>
    <row r="6" spans="2:13" ht="13.5" thickBot="1" x14ac:dyDescent="0.25">
      <c r="B6" s="41" t="s">
        <v>11</v>
      </c>
      <c r="C6" s="42"/>
      <c r="D6" s="42"/>
      <c r="E6" s="42"/>
      <c r="F6" s="42"/>
      <c r="G6" s="42"/>
      <c r="H6" s="42"/>
      <c r="I6" s="43"/>
      <c r="J6" s="44"/>
    </row>
    <row r="7" spans="2:13" ht="23.25" customHeight="1" x14ac:dyDescent="0.2">
      <c r="B7" s="45" t="s">
        <v>2</v>
      </c>
      <c r="C7" s="38" t="s">
        <v>18</v>
      </c>
      <c r="D7" s="38" t="s">
        <v>7</v>
      </c>
      <c r="E7" s="38" t="s">
        <v>3</v>
      </c>
      <c r="F7" s="31" t="s">
        <v>4</v>
      </c>
      <c r="G7" s="31" t="s">
        <v>12</v>
      </c>
      <c r="H7" s="34" t="s">
        <v>5</v>
      </c>
      <c r="I7" s="34" t="s">
        <v>6</v>
      </c>
      <c r="J7" s="34" t="s">
        <v>1</v>
      </c>
    </row>
    <row r="8" spans="2:13" x14ac:dyDescent="0.2">
      <c r="B8" s="46"/>
      <c r="C8" s="39"/>
      <c r="D8" s="39"/>
      <c r="E8" s="39"/>
      <c r="F8" s="32"/>
      <c r="G8" s="32"/>
      <c r="H8" s="35"/>
      <c r="I8" s="35"/>
      <c r="J8" s="35"/>
      <c r="L8" s="18" t="s">
        <v>13</v>
      </c>
    </row>
    <row r="9" spans="2:13" ht="12.75" customHeight="1" x14ac:dyDescent="0.2">
      <c r="B9" s="46"/>
      <c r="C9" s="39"/>
      <c r="D9" s="39"/>
      <c r="E9" s="39"/>
      <c r="F9" s="32"/>
      <c r="G9" s="32"/>
      <c r="H9" s="35"/>
      <c r="I9" s="35"/>
      <c r="J9" s="35"/>
      <c r="L9" s="18" t="s">
        <v>14</v>
      </c>
    </row>
    <row r="10" spans="2:13" x14ac:dyDescent="0.2">
      <c r="B10" s="46"/>
      <c r="C10" s="39"/>
      <c r="D10" s="39"/>
      <c r="E10" s="39"/>
      <c r="F10" s="32"/>
      <c r="G10" s="32"/>
      <c r="H10" s="35"/>
      <c r="I10" s="35"/>
      <c r="J10" s="35"/>
      <c r="L10" s="18" t="s">
        <v>15</v>
      </c>
    </row>
    <row r="11" spans="2:13" ht="13.5" customHeight="1" thickBot="1" x14ac:dyDescent="0.25">
      <c r="B11" s="47"/>
      <c r="C11" s="40"/>
      <c r="D11" s="40"/>
      <c r="E11" s="40"/>
      <c r="F11" s="33"/>
      <c r="G11" s="33"/>
      <c r="H11" s="36"/>
      <c r="I11" s="36"/>
      <c r="J11" s="36"/>
      <c r="L11" s="18" t="s">
        <v>16</v>
      </c>
    </row>
    <row r="12" spans="2:13" ht="13.5" thickBot="1" x14ac:dyDescent="0.25">
      <c r="B12" s="4">
        <v>1</v>
      </c>
      <c r="C12" s="14" t="s">
        <v>9</v>
      </c>
      <c r="D12" s="14" t="s">
        <v>22</v>
      </c>
      <c r="E12" s="2">
        <f t="shared" ref="E12:E31" si="0">LOOKUP(C12,$L$13:$M$16)*LOOKUP(D12,$L$18:$M$21)</f>
        <v>12</v>
      </c>
      <c r="F12" s="9"/>
      <c r="G12" s="11"/>
      <c r="H12" s="9"/>
      <c r="I12" s="15"/>
      <c r="J12" s="13" t="s">
        <v>17</v>
      </c>
    </row>
    <row r="13" spans="2:13" ht="13.5" thickBot="1" x14ac:dyDescent="0.25">
      <c r="B13" s="4">
        <v>2</v>
      </c>
      <c r="C13" s="14" t="s">
        <v>10</v>
      </c>
      <c r="D13" s="14" t="s">
        <v>20</v>
      </c>
      <c r="E13" s="2">
        <f t="shared" si="0"/>
        <v>3</v>
      </c>
      <c r="F13" s="10"/>
      <c r="G13" s="11"/>
      <c r="H13" s="10"/>
      <c r="I13" s="15"/>
      <c r="J13" s="13" t="s">
        <v>17</v>
      </c>
      <c r="L13" s="19" t="s">
        <v>9</v>
      </c>
      <c r="M13">
        <v>4</v>
      </c>
    </row>
    <row r="14" spans="2:13" ht="13.5" thickBot="1" x14ac:dyDescent="0.25">
      <c r="B14" s="4">
        <v>3</v>
      </c>
      <c r="C14" s="14" t="s">
        <v>10</v>
      </c>
      <c r="D14" s="14" t="s">
        <v>20</v>
      </c>
      <c r="E14" s="2">
        <f t="shared" si="0"/>
        <v>3</v>
      </c>
      <c r="F14" s="10"/>
      <c r="G14" s="11"/>
      <c r="H14" s="10"/>
      <c r="I14" s="15"/>
      <c r="J14" s="13" t="s">
        <v>17</v>
      </c>
      <c r="L14" s="19" t="s">
        <v>8</v>
      </c>
      <c r="M14">
        <v>2</v>
      </c>
    </row>
    <row r="15" spans="2:13" ht="13.5" thickBot="1" x14ac:dyDescent="0.25">
      <c r="B15" s="4">
        <v>4</v>
      </c>
      <c r="C15" s="14" t="s">
        <v>19</v>
      </c>
      <c r="D15" s="14" t="s">
        <v>20</v>
      </c>
      <c r="E15" s="2">
        <f t="shared" si="0"/>
        <v>1</v>
      </c>
      <c r="F15" s="10"/>
      <c r="G15" s="11"/>
      <c r="H15" s="10"/>
      <c r="I15" s="15"/>
      <c r="J15" s="13" t="s">
        <v>17</v>
      </c>
      <c r="L15" s="19" t="s">
        <v>10</v>
      </c>
      <c r="M15">
        <v>3</v>
      </c>
    </row>
    <row r="16" spans="2:13" ht="13.5" thickBot="1" x14ac:dyDescent="0.25">
      <c r="B16" s="4">
        <v>5</v>
      </c>
      <c r="C16" s="14" t="s">
        <v>19</v>
      </c>
      <c r="D16" s="14" t="s">
        <v>20</v>
      </c>
      <c r="E16" s="2">
        <f t="shared" si="0"/>
        <v>1</v>
      </c>
      <c r="F16" s="10"/>
      <c r="G16" s="11"/>
      <c r="H16" s="10"/>
      <c r="I16" s="15"/>
      <c r="J16" s="13" t="s">
        <v>17</v>
      </c>
      <c r="L16" s="19" t="s">
        <v>19</v>
      </c>
      <c r="M16">
        <v>1</v>
      </c>
    </row>
    <row r="17" spans="2:13" ht="13.5" thickBot="1" x14ac:dyDescent="0.25">
      <c r="B17" s="4">
        <v>6</v>
      </c>
      <c r="C17" s="14" t="s">
        <v>19</v>
      </c>
      <c r="D17" s="14" t="s">
        <v>20</v>
      </c>
      <c r="E17" s="2">
        <f t="shared" si="0"/>
        <v>1</v>
      </c>
      <c r="F17" s="10"/>
      <c r="G17" s="11"/>
      <c r="H17" s="10"/>
      <c r="I17" s="15"/>
      <c r="J17" s="13" t="s">
        <v>17</v>
      </c>
    </row>
    <row r="18" spans="2:13" ht="13.5" thickBot="1" x14ac:dyDescent="0.25">
      <c r="B18" s="4">
        <v>7</v>
      </c>
      <c r="C18" s="14" t="s">
        <v>19</v>
      </c>
      <c r="D18" s="14" t="s">
        <v>20</v>
      </c>
      <c r="E18" s="2">
        <f t="shared" si="0"/>
        <v>1</v>
      </c>
      <c r="F18" s="10"/>
      <c r="G18" s="11"/>
      <c r="H18" s="10"/>
      <c r="I18" s="15"/>
      <c r="J18" s="13" t="s">
        <v>17</v>
      </c>
      <c r="L18" s="19" t="s">
        <v>23</v>
      </c>
      <c r="M18">
        <v>4</v>
      </c>
    </row>
    <row r="19" spans="2:13" ht="13.5" thickBot="1" x14ac:dyDescent="0.25">
      <c r="B19" s="4">
        <v>8</v>
      </c>
      <c r="C19" s="14" t="s">
        <v>19</v>
      </c>
      <c r="D19" s="14" t="s">
        <v>20</v>
      </c>
      <c r="E19" s="2">
        <f t="shared" si="0"/>
        <v>1</v>
      </c>
      <c r="F19" s="10"/>
      <c r="G19" s="11"/>
      <c r="H19" s="10"/>
      <c r="I19" s="10"/>
      <c r="J19" s="13" t="s">
        <v>17</v>
      </c>
      <c r="L19" s="19" t="s">
        <v>20</v>
      </c>
      <c r="M19">
        <v>1</v>
      </c>
    </row>
    <row r="20" spans="2:13" ht="13.5" thickBot="1" x14ac:dyDescent="0.25">
      <c r="B20" s="5">
        <v>9</v>
      </c>
      <c r="C20" s="14" t="s">
        <v>19</v>
      </c>
      <c r="D20" s="14" t="s">
        <v>20</v>
      </c>
      <c r="E20" s="2">
        <f t="shared" si="0"/>
        <v>1</v>
      </c>
      <c r="F20" s="12"/>
      <c r="G20" s="11"/>
      <c r="H20" s="12"/>
      <c r="I20" s="16"/>
      <c r="J20" s="13" t="s">
        <v>17</v>
      </c>
      <c r="L20" s="19" t="s">
        <v>21</v>
      </c>
      <c r="M20">
        <v>2</v>
      </c>
    </row>
    <row r="21" spans="2:13" ht="13.5" thickBot="1" x14ac:dyDescent="0.25">
      <c r="B21" s="4">
        <v>10</v>
      </c>
      <c r="C21" s="14" t="s">
        <v>19</v>
      </c>
      <c r="D21" s="14" t="s">
        <v>20</v>
      </c>
      <c r="E21" s="2">
        <f t="shared" si="0"/>
        <v>1</v>
      </c>
      <c r="F21" s="10"/>
      <c r="G21" s="11"/>
      <c r="H21" s="10"/>
      <c r="I21" s="15"/>
      <c r="J21" s="13" t="s">
        <v>17</v>
      </c>
      <c r="L21" s="19" t="s">
        <v>22</v>
      </c>
      <c r="M21">
        <v>3</v>
      </c>
    </row>
    <row r="22" spans="2:13" ht="13.5" thickBot="1" x14ac:dyDescent="0.25">
      <c r="B22" s="4">
        <v>11</v>
      </c>
      <c r="C22" s="14" t="s">
        <v>19</v>
      </c>
      <c r="D22" s="14" t="s">
        <v>20</v>
      </c>
      <c r="E22" s="2">
        <f t="shared" si="0"/>
        <v>1</v>
      </c>
      <c r="F22" s="10"/>
      <c r="G22" s="11"/>
      <c r="H22" s="10"/>
      <c r="I22" s="15"/>
      <c r="J22" s="13" t="s">
        <v>17</v>
      </c>
    </row>
    <row r="23" spans="2:13" ht="13.5" thickBot="1" x14ac:dyDescent="0.25">
      <c r="B23" s="4">
        <v>12</v>
      </c>
      <c r="C23" s="14" t="s">
        <v>19</v>
      </c>
      <c r="D23" s="14" t="s">
        <v>20</v>
      </c>
      <c r="E23" s="2">
        <f t="shared" si="0"/>
        <v>1</v>
      </c>
      <c r="F23" s="10"/>
      <c r="G23" s="11"/>
      <c r="H23" s="10"/>
      <c r="I23" s="15"/>
      <c r="J23" s="13" t="s">
        <v>17</v>
      </c>
    </row>
    <row r="24" spans="2:13" ht="13.5" thickBot="1" x14ac:dyDescent="0.25">
      <c r="B24" s="4">
        <v>13</v>
      </c>
      <c r="C24" s="14" t="s">
        <v>19</v>
      </c>
      <c r="D24" s="14" t="s">
        <v>20</v>
      </c>
      <c r="E24" s="2">
        <f t="shared" si="0"/>
        <v>1</v>
      </c>
      <c r="F24" s="10"/>
      <c r="G24" s="11"/>
      <c r="H24" s="10"/>
      <c r="I24" s="15"/>
      <c r="J24" s="13" t="s">
        <v>17</v>
      </c>
    </row>
    <row r="25" spans="2:13" ht="13.5" thickBot="1" x14ac:dyDescent="0.25">
      <c r="B25" s="4">
        <v>14</v>
      </c>
      <c r="C25" s="14" t="s">
        <v>19</v>
      </c>
      <c r="D25" s="14" t="s">
        <v>20</v>
      </c>
      <c r="E25" s="2">
        <f t="shared" si="0"/>
        <v>1</v>
      </c>
      <c r="F25" s="10"/>
      <c r="G25" s="11"/>
      <c r="H25" s="10"/>
      <c r="I25" s="15"/>
      <c r="J25" s="13" t="s">
        <v>17</v>
      </c>
    </row>
    <row r="26" spans="2:13" ht="13.5" thickBot="1" x14ac:dyDescent="0.25">
      <c r="B26" s="4">
        <v>15</v>
      </c>
      <c r="C26" s="14" t="s">
        <v>19</v>
      </c>
      <c r="D26" s="14" t="s">
        <v>20</v>
      </c>
      <c r="E26" s="2">
        <f t="shared" si="0"/>
        <v>1</v>
      </c>
      <c r="F26" s="10"/>
      <c r="G26" s="11"/>
      <c r="H26" s="10"/>
      <c r="I26" s="15"/>
      <c r="J26" s="13" t="s">
        <v>17</v>
      </c>
    </row>
    <row r="27" spans="2:13" ht="13.5" thickBot="1" x14ac:dyDescent="0.25">
      <c r="B27" s="4">
        <v>16</v>
      </c>
      <c r="C27" s="14" t="s">
        <v>19</v>
      </c>
      <c r="D27" s="14" t="s">
        <v>20</v>
      </c>
      <c r="E27" s="2">
        <f t="shared" si="0"/>
        <v>1</v>
      </c>
      <c r="F27" s="10"/>
      <c r="G27" s="11"/>
      <c r="H27" s="10"/>
      <c r="I27" s="15"/>
      <c r="J27" s="13" t="s">
        <v>17</v>
      </c>
    </row>
    <row r="28" spans="2:13" ht="13.5" thickBot="1" x14ac:dyDescent="0.25">
      <c r="B28" s="4">
        <v>17</v>
      </c>
      <c r="C28" s="14" t="s">
        <v>19</v>
      </c>
      <c r="D28" s="14" t="s">
        <v>20</v>
      </c>
      <c r="E28" s="2">
        <f t="shared" si="0"/>
        <v>1</v>
      </c>
      <c r="F28" s="10"/>
      <c r="G28" s="11"/>
      <c r="H28" s="10"/>
      <c r="I28" s="15"/>
      <c r="J28" s="13" t="s">
        <v>17</v>
      </c>
    </row>
    <row r="29" spans="2:13" ht="13.5" thickBot="1" x14ac:dyDescent="0.25">
      <c r="B29" s="4">
        <v>18</v>
      </c>
      <c r="C29" s="14" t="s">
        <v>19</v>
      </c>
      <c r="D29" s="14" t="s">
        <v>20</v>
      </c>
      <c r="E29" s="2">
        <f t="shared" si="0"/>
        <v>1</v>
      </c>
      <c r="F29" s="10"/>
      <c r="G29" s="11"/>
      <c r="H29" s="10"/>
      <c r="I29" s="15"/>
      <c r="J29" s="13" t="s">
        <v>17</v>
      </c>
    </row>
    <row r="30" spans="2:13" ht="13.5" thickBot="1" x14ac:dyDescent="0.25">
      <c r="B30" s="4">
        <v>19</v>
      </c>
      <c r="C30" s="14" t="s">
        <v>19</v>
      </c>
      <c r="D30" s="14" t="s">
        <v>20</v>
      </c>
      <c r="E30" s="2">
        <f t="shared" si="0"/>
        <v>1</v>
      </c>
      <c r="F30" s="10"/>
      <c r="G30" s="11"/>
      <c r="H30" s="10"/>
      <c r="I30" s="15"/>
      <c r="J30" s="13" t="s">
        <v>17</v>
      </c>
    </row>
    <row r="31" spans="2:13" ht="13.5" thickBot="1" x14ac:dyDescent="0.25">
      <c r="B31" s="4">
        <v>20</v>
      </c>
      <c r="C31" s="14" t="s">
        <v>19</v>
      </c>
      <c r="D31" s="14" t="s">
        <v>20</v>
      </c>
      <c r="E31" s="2">
        <f t="shared" si="0"/>
        <v>1</v>
      </c>
      <c r="F31" s="10"/>
      <c r="G31" s="11"/>
      <c r="H31" s="10"/>
      <c r="I31" s="15"/>
      <c r="J31" s="13" t="s">
        <v>17</v>
      </c>
    </row>
    <row r="32" spans="2:13" ht="13.5" thickBot="1" x14ac:dyDescent="0.25">
      <c r="B32" s="6" t="s">
        <v>0</v>
      </c>
      <c r="C32" s="3">
        <f>SUM(C20:C31)</f>
        <v>0</v>
      </c>
      <c r="D32" s="3">
        <f>SUM(D20:D31)</f>
        <v>0</v>
      </c>
      <c r="E32" s="2">
        <f>SUM(E20:E31)</f>
        <v>12</v>
      </c>
      <c r="F32" s="1"/>
      <c r="G32" s="7"/>
      <c r="H32" s="1"/>
      <c r="I32" s="17"/>
      <c r="J32" s="8"/>
    </row>
  </sheetData>
  <sortState ref="C12:J31">
    <sortCondition descending="1" ref="E12:E31"/>
  </sortState>
  <mergeCells count="11">
    <mergeCell ref="H7:H11"/>
    <mergeCell ref="I7:I11"/>
    <mergeCell ref="J7:J11"/>
    <mergeCell ref="B1:J1"/>
    <mergeCell ref="B6:J6"/>
    <mergeCell ref="B7:B11"/>
    <mergeCell ref="C7:C11"/>
    <mergeCell ref="D7:D11"/>
    <mergeCell ref="E7:E11"/>
    <mergeCell ref="F7:F11"/>
    <mergeCell ref="G7:G11"/>
  </mergeCells>
  <dataValidations count="3">
    <dataValidation type="list" allowBlank="1" showInputMessage="1" showErrorMessage="1" sqref="D12:D31">
      <formula1>$L$18:$L$21</formula1>
    </dataValidation>
    <dataValidation type="list" allowBlank="1" showInputMessage="1" showErrorMessage="1" sqref="C12:C31">
      <formula1>$L$13:$L$16</formula1>
    </dataValidation>
    <dataValidation type="list" allowBlank="1" showInputMessage="1" showErrorMessage="1" sqref="G12:G31">
      <formula1>$L$8:$L$11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5" name="Button 4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6" name="Button 11">
              <controlPr defaultSize="0" print="0" autoFill="0" autoPict="0" macro="[0]!Ordenar">
                <anchor moveWithCells="1">
                  <from>
                    <xdr:col>0</xdr:col>
                    <xdr:colOff>438150</xdr:colOff>
                    <xdr:row>32</xdr:row>
                    <xdr:rowOff>66675</xdr:rowOff>
                  </from>
                  <to>
                    <xdr:col>10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40</vt:i4>
      </vt:variant>
    </vt:vector>
  </HeadingPairs>
  <TitlesOfParts>
    <vt:vector size="40" baseType="lpstr">
      <vt:lpstr>Reunião 1</vt:lpstr>
      <vt:lpstr>Reunião 2</vt:lpstr>
      <vt:lpstr>Reunião 3</vt:lpstr>
      <vt:lpstr>Reunião 4</vt:lpstr>
      <vt:lpstr>Reunião 5</vt:lpstr>
      <vt:lpstr>Reunião 6</vt:lpstr>
      <vt:lpstr>Reunião 7</vt:lpstr>
      <vt:lpstr>Reunião 8</vt:lpstr>
      <vt:lpstr>Reunião 9</vt:lpstr>
      <vt:lpstr>Reunião 10</vt:lpstr>
      <vt:lpstr>Reunião 11</vt:lpstr>
      <vt:lpstr>Reunião 12</vt:lpstr>
      <vt:lpstr>Reunião 13</vt:lpstr>
      <vt:lpstr>Reunião 14</vt:lpstr>
      <vt:lpstr>Reunião 15</vt:lpstr>
      <vt:lpstr>Reunião 16</vt:lpstr>
      <vt:lpstr>Reunião 17</vt:lpstr>
      <vt:lpstr>Reunião 18</vt:lpstr>
      <vt:lpstr>Reunião 19</vt:lpstr>
      <vt:lpstr>Reunião 20</vt:lpstr>
      <vt:lpstr>Reunião 21</vt:lpstr>
      <vt:lpstr>Reunião 22</vt:lpstr>
      <vt:lpstr>Reunião 23</vt:lpstr>
      <vt:lpstr>Reunião 24</vt:lpstr>
      <vt:lpstr>Reunião 25</vt:lpstr>
      <vt:lpstr>Reunião 26</vt:lpstr>
      <vt:lpstr>Reunião 27</vt:lpstr>
      <vt:lpstr>Reunião 28</vt:lpstr>
      <vt:lpstr>Reunião 29</vt:lpstr>
      <vt:lpstr>Reunião 30</vt:lpstr>
      <vt:lpstr>Reunião 31</vt:lpstr>
      <vt:lpstr>Reunião 32</vt:lpstr>
      <vt:lpstr>Reunião 33</vt:lpstr>
      <vt:lpstr>Reunião 34</vt:lpstr>
      <vt:lpstr>Reunião 35</vt:lpstr>
      <vt:lpstr>Reunião 36</vt:lpstr>
      <vt:lpstr>Reunião 37</vt:lpstr>
      <vt:lpstr>Reunião 38</vt:lpstr>
      <vt:lpstr>Reunião 39</vt:lpstr>
      <vt:lpstr>Reunião 40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Alunos</dc:creator>
  <cp:lastModifiedBy>Alunos</cp:lastModifiedBy>
  <dcterms:created xsi:type="dcterms:W3CDTF">1997-01-10T22:22:50Z</dcterms:created>
  <dcterms:modified xsi:type="dcterms:W3CDTF">2018-09-15T01:52:33Z</dcterms:modified>
</cp:coreProperties>
</file>